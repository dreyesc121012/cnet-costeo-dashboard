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roupcastillo-my.sharepoint.com/personal/kreyes_groupcastillo_com/Documents/Documents/"/>
    </mc:Choice>
  </mc:AlternateContent>
  <xr:revisionPtr revIDLastSave="133" documentId="8_{6E917633-C9DD-4FD0-AD00-BA1D326B8B47}" xr6:coauthVersionLast="47" xr6:coauthVersionMax="47" xr10:uidLastSave="{E71D1DCD-2533-426F-8ABF-557E7166CB1C}"/>
  <bookViews>
    <workbookView xWindow="-120" yWindow="-120" windowWidth="29040" windowHeight="15720" xr2:uid="{76E05C91-6286-4439-88DD-B8245E820E5E}"/>
  </bookViews>
  <sheets>
    <sheet name="Real Master" sheetId="1" r:id="rId1"/>
    <sheet name="Gasto Fijo" sheetId="2" r:id="rId2"/>
    <sheet name="List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'Real Master'!$A$7:$AP$71</definedName>
    <definedName name="_xlnm.Print_Area" localSheetId="0">'Real Master'!$A$1:$AP$108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2" i="1" l="1"/>
  <c r="AG62" i="1" s="1"/>
  <c r="AD57" i="1"/>
  <c r="AD60" i="1"/>
  <c r="X59" i="1"/>
  <c r="AQ8" i="1"/>
  <c r="AC8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C17" i="2"/>
  <c r="C19" i="2" s="1"/>
  <c r="AQ68" i="1"/>
  <c r="AC68" i="1"/>
  <c r="AQ67" i="1"/>
  <c r="AC67" i="1"/>
  <c r="AQ66" i="1"/>
  <c r="AC66" i="1"/>
  <c r="AQ65" i="1"/>
  <c r="AC65" i="1"/>
  <c r="AQ64" i="1"/>
  <c r="AC64" i="1"/>
  <c r="U64" i="1"/>
  <c r="AQ63" i="1"/>
  <c r="AC63" i="1"/>
  <c r="AQ62" i="1"/>
  <c r="AC62" i="1"/>
  <c r="AQ61" i="1"/>
  <c r="AC61" i="1"/>
  <c r="AQ60" i="1"/>
  <c r="AC60" i="1"/>
  <c r="AQ59" i="1"/>
  <c r="AC59" i="1"/>
  <c r="AQ58" i="1"/>
  <c r="AC58" i="1"/>
  <c r="AQ57" i="1"/>
  <c r="AC57" i="1"/>
  <c r="U57" i="1"/>
  <c r="AQ56" i="1"/>
  <c r="AC56" i="1"/>
  <c r="AQ55" i="1"/>
  <c r="AC55" i="1"/>
  <c r="AQ54" i="1"/>
  <c r="AC54" i="1"/>
  <c r="AQ53" i="1"/>
  <c r="AJ53" i="1"/>
  <c r="AC53" i="1"/>
  <c r="AQ52" i="1"/>
  <c r="AC52" i="1"/>
  <c r="AQ51" i="1"/>
  <c r="AC51" i="1"/>
  <c r="AQ50" i="1"/>
  <c r="AC50" i="1"/>
  <c r="AQ49" i="1"/>
  <c r="AJ49" i="1"/>
  <c r="AC49" i="1"/>
  <c r="AQ48" i="1"/>
  <c r="AC48" i="1"/>
  <c r="AQ47" i="1"/>
  <c r="AC47" i="1"/>
  <c r="AQ46" i="1"/>
  <c r="AC46" i="1"/>
  <c r="U46" i="1"/>
  <c r="AQ45" i="1"/>
  <c r="AC45" i="1"/>
  <c r="AQ44" i="1"/>
  <c r="AC44" i="1"/>
  <c r="AQ43" i="1"/>
  <c r="AJ43" i="1"/>
  <c r="AC43" i="1"/>
  <c r="AQ42" i="1"/>
  <c r="AJ42" i="1"/>
  <c r="AC42" i="1"/>
  <c r="AQ41" i="1"/>
  <c r="AC41" i="1"/>
  <c r="AQ40" i="1"/>
  <c r="AC40" i="1"/>
  <c r="AQ39" i="1"/>
  <c r="AC39" i="1"/>
  <c r="AQ38" i="1"/>
  <c r="AC38" i="1"/>
  <c r="AQ37" i="1"/>
  <c r="AC37" i="1"/>
  <c r="AQ36" i="1"/>
  <c r="AC36" i="1"/>
  <c r="AQ35" i="1"/>
  <c r="AC35" i="1"/>
  <c r="AQ34" i="1"/>
  <c r="AC34" i="1"/>
  <c r="AQ33" i="1"/>
  <c r="AC33" i="1"/>
  <c r="U33" i="1"/>
  <c r="AQ32" i="1"/>
  <c r="AC32" i="1"/>
  <c r="AQ31" i="1"/>
  <c r="AC31" i="1"/>
  <c r="AQ30" i="1"/>
  <c r="AC30" i="1"/>
  <c r="AQ29" i="1"/>
  <c r="AC29" i="1"/>
  <c r="AQ28" i="1"/>
  <c r="AC28" i="1"/>
  <c r="AQ27" i="1"/>
  <c r="AC27" i="1"/>
  <c r="AQ26" i="1"/>
  <c r="AC26" i="1"/>
  <c r="AQ25" i="1"/>
  <c r="AC25" i="1"/>
  <c r="AQ24" i="1"/>
  <c r="AC24" i="1"/>
  <c r="AQ23" i="1"/>
  <c r="AC23" i="1"/>
  <c r="AQ22" i="1"/>
  <c r="AC22" i="1"/>
  <c r="AQ21" i="1"/>
  <c r="AC21" i="1"/>
  <c r="AQ20" i="1"/>
  <c r="AC20" i="1"/>
  <c r="U20" i="1"/>
  <c r="AQ19" i="1"/>
  <c r="AC19" i="1"/>
  <c r="U19" i="1"/>
  <c r="AQ18" i="1"/>
  <c r="AC18" i="1"/>
  <c r="U18" i="1"/>
  <c r="AQ17" i="1"/>
  <c r="AC17" i="1"/>
  <c r="AQ16" i="1"/>
  <c r="AC16" i="1"/>
  <c r="AQ15" i="1"/>
  <c r="AC15" i="1"/>
  <c r="AQ14" i="1"/>
  <c r="AC14" i="1"/>
  <c r="U14" i="1"/>
  <c r="AQ13" i="1"/>
  <c r="AC13" i="1"/>
  <c r="U13" i="1"/>
  <c r="AQ12" i="1"/>
  <c r="AC12" i="1"/>
  <c r="AQ11" i="1"/>
  <c r="AC11" i="1"/>
  <c r="AQ10" i="1"/>
  <c r="AC10" i="1"/>
  <c r="AQ9" i="1"/>
  <c r="AC9" i="1"/>
  <c r="A1" i="1"/>
  <c r="AR8" i="1" l="1"/>
  <c r="AS8" i="1" s="1"/>
  <c r="AH8" i="1"/>
  <c r="AJ8" i="1" s="1"/>
  <c r="T8" i="1"/>
  <c r="S8" i="1"/>
  <c r="R8" i="1"/>
  <c r="Q8" i="1"/>
  <c r="O8" i="1"/>
  <c r="AR53" i="1"/>
  <c r="AS53" i="1" s="1"/>
  <c r="AR45" i="1"/>
  <c r="AS45" i="1" s="1"/>
  <c r="AR32" i="1"/>
  <c r="AS32" i="1" s="1"/>
  <c r="AR15" i="1"/>
  <c r="AS15" i="1" s="1"/>
  <c r="AR51" i="1"/>
  <c r="AS51" i="1" s="1"/>
  <c r="AR48" i="1"/>
  <c r="AS48" i="1" s="1"/>
  <c r="AR39" i="1"/>
  <c r="AS39" i="1" s="1"/>
  <c r="AR27" i="1"/>
  <c r="AS27" i="1" s="1"/>
  <c r="AR26" i="1"/>
  <c r="AS26" i="1" s="1"/>
  <c r="AR25" i="1"/>
  <c r="AS25" i="1" s="1"/>
  <c r="AR20" i="1"/>
  <c r="AS20" i="1" s="1"/>
  <c r="AR14" i="1"/>
  <c r="AS14" i="1" s="1"/>
  <c r="AR63" i="1"/>
  <c r="AS63" i="1" s="1"/>
  <c r="AR60" i="1"/>
  <c r="AS60" i="1" s="1"/>
  <c r="AR59" i="1"/>
  <c r="AS59" i="1" s="1"/>
  <c r="AR58" i="1"/>
  <c r="AS58" i="1" s="1"/>
  <c r="AR54" i="1"/>
  <c r="AS54" i="1" s="1"/>
  <c r="AR50" i="1"/>
  <c r="AS50" i="1" s="1"/>
  <c r="AR47" i="1"/>
  <c r="AS47" i="1" s="1"/>
  <c r="AR44" i="1"/>
  <c r="AS44" i="1" s="1"/>
  <c r="AR42" i="1"/>
  <c r="AS42" i="1" s="1"/>
  <c r="AR37" i="1"/>
  <c r="AS37" i="1" s="1"/>
  <c r="AR34" i="1"/>
  <c r="AS34" i="1" s="1"/>
  <c r="AR24" i="1"/>
  <c r="AS24" i="1" s="1"/>
  <c r="AR23" i="1"/>
  <c r="AS23" i="1" s="1"/>
  <c r="AR22" i="1"/>
  <c r="AS22" i="1" s="1"/>
  <c r="AR18" i="1"/>
  <c r="AS18" i="1" s="1"/>
  <c r="AR9" i="1"/>
  <c r="AS9" i="1" s="1"/>
  <c r="AR17" i="1"/>
  <c r="AS17" i="1" s="1"/>
  <c r="AR10" i="1"/>
  <c r="AS10" i="1" s="1"/>
  <c r="AR67" i="1"/>
  <c r="AS67" i="1" s="1"/>
  <c r="AR66" i="1"/>
  <c r="AS66" i="1" s="1"/>
  <c r="AR65" i="1"/>
  <c r="AS65" i="1" s="1"/>
  <c r="AR64" i="1"/>
  <c r="AS64" i="1" s="1"/>
  <c r="AR56" i="1"/>
  <c r="AS56" i="1" s="1"/>
  <c r="AR55" i="1"/>
  <c r="AS55" i="1" s="1"/>
  <c r="AR52" i="1"/>
  <c r="AS52" i="1" s="1"/>
  <c r="AR36" i="1"/>
  <c r="AS36" i="1" s="1"/>
  <c r="AR35" i="1"/>
  <c r="AS35" i="1" s="1"/>
  <c r="AR30" i="1"/>
  <c r="AS30" i="1" s="1"/>
  <c r="AR29" i="1"/>
  <c r="AS29" i="1" s="1"/>
  <c r="AR28" i="1"/>
  <c r="AS28" i="1" s="1"/>
  <c r="AR68" i="1"/>
  <c r="AS68" i="1" s="1"/>
  <c r="AR62" i="1"/>
  <c r="AS62" i="1" s="1"/>
  <c r="AR61" i="1"/>
  <c r="AS61" i="1" s="1"/>
  <c r="AR57" i="1"/>
  <c r="AS57" i="1" s="1"/>
  <c r="AR49" i="1"/>
  <c r="AS49" i="1" s="1"/>
  <c r="AR46" i="1"/>
  <c r="AS46" i="1" s="1"/>
  <c r="AR43" i="1"/>
  <c r="AS43" i="1" s="1"/>
  <c r="AR41" i="1"/>
  <c r="AS41" i="1" s="1"/>
  <c r="AR40" i="1"/>
  <c r="AS40" i="1" s="1"/>
  <c r="AR38" i="1"/>
  <c r="AS38" i="1" s="1"/>
  <c r="AR33" i="1"/>
  <c r="AS33" i="1" s="1"/>
  <c r="AR31" i="1"/>
  <c r="AS31" i="1" s="1"/>
  <c r="AR21" i="1"/>
  <c r="AS21" i="1" s="1"/>
  <c r="AR19" i="1"/>
  <c r="AS19" i="1" s="1"/>
  <c r="AR13" i="1"/>
  <c r="AS13" i="1" s="1"/>
  <c r="AR12" i="1"/>
  <c r="AS12" i="1" s="1"/>
  <c r="AR11" i="1"/>
  <c r="AS11" i="1" s="1"/>
  <c r="T68" i="1"/>
  <c r="AH68" i="1"/>
  <c r="AJ68" i="1" s="1"/>
  <c r="S68" i="1"/>
  <c r="R68" i="1"/>
  <c r="Q68" i="1"/>
  <c r="O68" i="1"/>
  <c r="O67" i="1"/>
  <c r="S67" i="1"/>
  <c r="AH67" i="1"/>
  <c r="AJ67" i="1" s="1"/>
  <c r="T67" i="1"/>
  <c r="R67" i="1"/>
  <c r="Q67" i="1"/>
  <c r="R66" i="1"/>
  <c r="O66" i="1"/>
  <c r="Q66" i="1"/>
  <c r="T66" i="1"/>
  <c r="S66" i="1"/>
  <c r="AH66" i="1"/>
  <c r="AJ66" i="1" s="1"/>
  <c r="T65" i="1"/>
  <c r="S65" i="1"/>
  <c r="Q65" i="1"/>
  <c r="R65" i="1"/>
  <c r="AH65" i="1"/>
  <c r="AJ65" i="1" s="1"/>
  <c r="O65" i="1"/>
  <c r="T64" i="1"/>
  <c r="AH64" i="1"/>
  <c r="AJ64" i="1" s="1"/>
  <c r="O64" i="1"/>
  <c r="Q64" i="1"/>
  <c r="S64" i="1"/>
  <c r="R64" i="1"/>
  <c r="Q63" i="1"/>
  <c r="O63" i="1"/>
  <c r="R63" i="1"/>
  <c r="AH63" i="1"/>
  <c r="AJ63" i="1" s="1"/>
  <c r="T63" i="1"/>
  <c r="S63" i="1"/>
  <c r="S62" i="1"/>
  <c r="Q62" i="1"/>
  <c r="T62" i="1"/>
  <c r="R62" i="1"/>
  <c r="O62" i="1"/>
  <c r="AH62" i="1"/>
  <c r="AJ62" i="1" s="1"/>
  <c r="T61" i="1"/>
  <c r="Q61" i="1"/>
  <c r="AH61" i="1"/>
  <c r="AJ61" i="1" s="1"/>
  <c r="O61" i="1"/>
  <c r="S61" i="1"/>
  <c r="R61" i="1"/>
  <c r="Q60" i="1"/>
  <c r="T60" i="1"/>
  <c r="O60" i="1"/>
  <c r="S60" i="1"/>
  <c r="AH60" i="1"/>
  <c r="AJ60" i="1" s="1"/>
  <c r="R60" i="1"/>
  <c r="R59" i="1"/>
  <c r="Q59" i="1"/>
  <c r="AH59" i="1"/>
  <c r="AJ59" i="1" s="1"/>
  <c r="S59" i="1"/>
  <c r="T59" i="1"/>
  <c r="O59" i="1"/>
  <c r="R58" i="1"/>
  <c r="T58" i="1"/>
  <c r="O58" i="1"/>
  <c r="S58" i="1"/>
  <c r="Q58" i="1"/>
  <c r="AH58" i="1"/>
  <c r="AJ58" i="1" s="1"/>
  <c r="Q57" i="1"/>
  <c r="R57" i="1"/>
  <c r="AH57" i="1"/>
  <c r="AJ57" i="1" s="1"/>
  <c r="O57" i="1"/>
  <c r="T57" i="1"/>
  <c r="S57" i="1"/>
  <c r="O56" i="1"/>
  <c r="S56" i="1"/>
  <c r="Q56" i="1"/>
  <c r="AH56" i="1"/>
  <c r="AJ56" i="1" s="1"/>
  <c r="R56" i="1"/>
  <c r="T56" i="1"/>
  <c r="T55" i="1"/>
  <c r="S55" i="1"/>
  <c r="O55" i="1"/>
  <c r="R55" i="1"/>
  <c r="AH55" i="1"/>
  <c r="AJ55" i="1" s="1"/>
  <c r="Q55" i="1"/>
  <c r="O54" i="1"/>
  <c r="T54" i="1"/>
  <c r="S54" i="1"/>
  <c r="Q54" i="1"/>
  <c r="AH54" i="1"/>
  <c r="AJ54" i="1" s="1"/>
  <c r="R54" i="1"/>
  <c r="T53" i="1"/>
  <c r="O53" i="1"/>
  <c r="R53" i="1"/>
  <c r="Q53" i="1"/>
  <c r="S53" i="1"/>
  <c r="S52" i="1"/>
  <c r="R52" i="1"/>
  <c r="T52" i="1"/>
  <c r="O52" i="1"/>
  <c r="Q52" i="1"/>
  <c r="AH52" i="1"/>
  <c r="AJ52" i="1" s="1"/>
  <c r="S51" i="1"/>
  <c r="Q51" i="1"/>
  <c r="AH51" i="1"/>
  <c r="AJ51" i="1" s="1"/>
  <c r="T51" i="1"/>
  <c r="O51" i="1"/>
  <c r="R51" i="1"/>
  <c r="AH50" i="1"/>
  <c r="AJ50" i="1" s="1"/>
  <c r="O50" i="1"/>
  <c r="Q50" i="1"/>
  <c r="S50" i="1"/>
  <c r="R50" i="1"/>
  <c r="T50" i="1"/>
  <c r="Q49" i="1"/>
  <c r="R49" i="1"/>
  <c r="S49" i="1"/>
  <c r="T49" i="1"/>
  <c r="O49" i="1"/>
  <c r="Q48" i="1"/>
  <c r="T48" i="1"/>
  <c r="O48" i="1"/>
  <c r="S48" i="1"/>
  <c r="AH48" i="1"/>
  <c r="AJ48" i="1" s="1"/>
  <c r="R48" i="1"/>
  <c r="O47" i="1"/>
  <c r="AH47" i="1"/>
  <c r="AJ47" i="1" s="1"/>
  <c r="T47" i="1"/>
  <c r="R47" i="1"/>
  <c r="Q47" i="1"/>
  <c r="S47" i="1"/>
  <c r="S46" i="1"/>
  <c r="O46" i="1"/>
  <c r="T46" i="1"/>
  <c r="AH46" i="1"/>
  <c r="AJ46" i="1" s="1"/>
  <c r="Q46" i="1"/>
  <c r="R46" i="1"/>
  <c r="R45" i="1"/>
  <c r="AH45" i="1"/>
  <c r="AJ45" i="1" s="1"/>
  <c r="Q45" i="1"/>
  <c r="T45" i="1"/>
  <c r="O45" i="1"/>
  <c r="S45" i="1"/>
  <c r="Q44" i="1"/>
  <c r="O44" i="1"/>
  <c r="S44" i="1"/>
  <c r="R44" i="1"/>
  <c r="T44" i="1"/>
  <c r="AH44" i="1"/>
  <c r="AJ44" i="1" s="1"/>
  <c r="O43" i="1"/>
  <c r="R43" i="1"/>
  <c r="T43" i="1"/>
  <c r="Q43" i="1"/>
  <c r="S43" i="1"/>
  <c r="R42" i="1"/>
  <c r="S42" i="1"/>
  <c r="O42" i="1"/>
  <c r="T42" i="1"/>
  <c r="Q42" i="1"/>
  <c r="S41" i="1"/>
  <c r="O41" i="1"/>
  <c r="R41" i="1"/>
  <c r="T41" i="1"/>
  <c r="AH41" i="1"/>
  <c r="AJ41" i="1" s="1"/>
  <c r="Q41" i="1"/>
  <c r="R40" i="1"/>
  <c r="Q40" i="1"/>
  <c r="S40" i="1"/>
  <c r="O40" i="1"/>
  <c r="T40" i="1"/>
  <c r="AH40" i="1"/>
  <c r="AJ40" i="1" s="1"/>
  <c r="O39" i="1"/>
  <c r="S39" i="1"/>
  <c r="AH39" i="1"/>
  <c r="AJ39" i="1" s="1"/>
  <c r="T39" i="1"/>
  <c r="Q39" i="1"/>
  <c r="R39" i="1"/>
  <c r="AH38" i="1"/>
  <c r="AJ38" i="1" s="1"/>
  <c r="Q38" i="1"/>
  <c r="O38" i="1"/>
  <c r="S38" i="1"/>
  <c r="R38" i="1"/>
  <c r="T38" i="1"/>
  <c r="Q37" i="1"/>
  <c r="S37" i="1"/>
  <c r="R37" i="1"/>
  <c r="AH37" i="1"/>
  <c r="AJ37" i="1" s="1"/>
  <c r="T37" i="1"/>
  <c r="O37" i="1"/>
  <c r="AH36" i="1"/>
  <c r="AJ36" i="1" s="1"/>
  <c r="Q36" i="1"/>
  <c r="T36" i="1"/>
  <c r="R36" i="1"/>
  <c r="S36" i="1"/>
  <c r="O36" i="1"/>
  <c r="Q35" i="1"/>
  <c r="AH35" i="1"/>
  <c r="AJ35" i="1" s="1"/>
  <c r="T35" i="1"/>
  <c r="S35" i="1"/>
  <c r="R35" i="1"/>
  <c r="O35" i="1"/>
  <c r="AH34" i="1"/>
  <c r="AJ34" i="1" s="1"/>
  <c r="Q34" i="1"/>
  <c r="O34" i="1"/>
  <c r="R34" i="1"/>
  <c r="T34" i="1"/>
  <c r="S34" i="1"/>
  <c r="T33" i="1"/>
  <c r="Q33" i="1"/>
  <c r="S33" i="1"/>
  <c r="AH33" i="1"/>
  <c r="AJ33" i="1" s="1"/>
  <c r="O33" i="1"/>
  <c r="R33" i="1"/>
  <c r="T32" i="1"/>
  <c r="O32" i="1"/>
  <c r="AH32" i="1"/>
  <c r="AJ32" i="1" s="1"/>
  <c r="S32" i="1"/>
  <c r="Q32" i="1"/>
  <c r="R32" i="1"/>
  <c r="S31" i="1"/>
  <c r="AH31" i="1"/>
  <c r="AJ31" i="1" s="1"/>
  <c r="T31" i="1"/>
  <c r="Q31" i="1"/>
  <c r="O31" i="1"/>
  <c r="R31" i="1"/>
  <c r="Q30" i="1"/>
  <c r="R30" i="1"/>
  <c r="T30" i="1"/>
  <c r="O30" i="1"/>
  <c r="S30" i="1"/>
  <c r="AH30" i="1"/>
  <c r="AJ30" i="1" s="1"/>
  <c r="AH29" i="1"/>
  <c r="AJ29" i="1" s="1"/>
  <c r="R29" i="1"/>
  <c r="Q29" i="1"/>
  <c r="O29" i="1"/>
  <c r="S29" i="1"/>
  <c r="T29" i="1"/>
  <c r="AH28" i="1"/>
  <c r="AJ28" i="1" s="1"/>
  <c r="O28" i="1"/>
  <c r="S28" i="1"/>
  <c r="T28" i="1"/>
  <c r="R28" i="1"/>
  <c r="Q28" i="1"/>
  <c r="T27" i="1"/>
  <c r="R27" i="1"/>
  <c r="AH27" i="1"/>
  <c r="AJ27" i="1" s="1"/>
  <c r="O27" i="1"/>
  <c r="S27" i="1"/>
  <c r="Q27" i="1"/>
  <c r="Q26" i="1"/>
  <c r="S26" i="1"/>
  <c r="R26" i="1"/>
  <c r="T26" i="1"/>
  <c r="O26" i="1"/>
  <c r="AH26" i="1"/>
  <c r="AJ26" i="1" s="1"/>
  <c r="T25" i="1"/>
  <c r="R25" i="1"/>
  <c r="Q25" i="1"/>
  <c r="AH25" i="1"/>
  <c r="AJ25" i="1" s="1"/>
  <c r="S25" i="1"/>
  <c r="O25" i="1"/>
  <c r="AH24" i="1"/>
  <c r="AJ24" i="1" s="1"/>
  <c r="T24" i="1"/>
  <c r="S24" i="1"/>
  <c r="O24" i="1"/>
  <c r="Q24" i="1"/>
  <c r="R24" i="1"/>
  <c r="S23" i="1"/>
  <c r="O23" i="1"/>
  <c r="R23" i="1"/>
  <c r="AH23" i="1"/>
  <c r="AJ23" i="1" s="1"/>
  <c r="T23" i="1"/>
  <c r="Q23" i="1"/>
  <c r="Q22" i="1"/>
  <c r="S22" i="1"/>
  <c r="T22" i="1"/>
  <c r="AH22" i="1"/>
  <c r="AJ22" i="1" s="1"/>
  <c r="O22" i="1"/>
  <c r="R22" i="1"/>
  <c r="S21" i="1"/>
  <c r="T21" i="1"/>
  <c r="R21" i="1"/>
  <c r="O21" i="1"/>
  <c r="AH21" i="1"/>
  <c r="AJ21" i="1" s="1"/>
  <c r="Q21" i="1"/>
  <c r="T20" i="1"/>
  <c r="S20" i="1"/>
  <c r="AH20" i="1"/>
  <c r="AJ20" i="1" s="1"/>
  <c r="R20" i="1"/>
  <c r="Q20" i="1"/>
  <c r="O20" i="1"/>
  <c r="O19" i="1"/>
  <c r="Q19" i="1"/>
  <c r="S19" i="1"/>
  <c r="T19" i="1"/>
  <c r="AH19" i="1"/>
  <c r="AJ19" i="1" s="1"/>
  <c r="R19" i="1"/>
  <c r="AH18" i="1"/>
  <c r="AJ18" i="1" s="1"/>
  <c r="R18" i="1"/>
  <c r="T18" i="1"/>
  <c r="O18" i="1"/>
  <c r="S18" i="1"/>
  <c r="Q18" i="1"/>
  <c r="Q17" i="1"/>
  <c r="R17" i="1"/>
  <c r="T17" i="1"/>
  <c r="AH17" i="1"/>
  <c r="AJ17" i="1" s="1"/>
  <c r="O17" i="1"/>
  <c r="S17" i="1"/>
  <c r="Q16" i="1"/>
  <c r="AH16" i="1"/>
  <c r="AJ16" i="1" s="1"/>
  <c r="O16" i="1"/>
  <c r="T16" i="1"/>
  <c r="R16" i="1"/>
  <c r="S16" i="1"/>
  <c r="S15" i="1"/>
  <c r="O15" i="1"/>
  <c r="Q15" i="1"/>
  <c r="AH15" i="1"/>
  <c r="AJ15" i="1" s="1"/>
  <c r="T15" i="1"/>
  <c r="R15" i="1"/>
  <c r="R14" i="1"/>
  <c r="S14" i="1"/>
  <c r="Q14" i="1"/>
  <c r="O14" i="1"/>
  <c r="T14" i="1"/>
  <c r="AH14" i="1"/>
  <c r="AJ14" i="1" s="1"/>
  <c r="O13" i="1"/>
  <c r="R13" i="1"/>
  <c r="S13" i="1"/>
  <c r="T13" i="1"/>
  <c r="Q13" i="1"/>
  <c r="AH13" i="1"/>
  <c r="AJ13" i="1" s="1"/>
  <c r="Q12" i="1"/>
  <c r="AH12" i="1"/>
  <c r="AJ12" i="1" s="1"/>
  <c r="T12" i="1"/>
  <c r="O12" i="1"/>
  <c r="R12" i="1"/>
  <c r="S12" i="1"/>
  <c r="Q11" i="1"/>
  <c r="S11" i="1"/>
  <c r="AH11" i="1"/>
  <c r="AJ11" i="1" s="1"/>
  <c r="O11" i="1"/>
  <c r="T11" i="1"/>
  <c r="R11" i="1"/>
  <c r="S10" i="1"/>
  <c r="O10" i="1"/>
  <c r="T10" i="1"/>
  <c r="R10" i="1"/>
  <c r="AH10" i="1"/>
  <c r="AJ10" i="1" s="1"/>
  <c r="Q10" i="1"/>
  <c r="R9" i="1"/>
  <c r="Q9" i="1"/>
  <c r="AH9" i="1"/>
  <c r="AJ9" i="1" s="1"/>
  <c r="O9" i="1"/>
  <c r="S9" i="1"/>
  <c r="T9" i="1"/>
  <c r="AR16" i="1"/>
  <c r="AS16" i="1" s="1"/>
  <c r="AQ69" i="1"/>
  <c r="AR69" i="1" s="1"/>
  <c r="AS69" i="1" s="1"/>
  <c r="AT69" i="1" l="1"/>
  <c r="AU69" i="1" l="1"/>
  <c r="V46" i="1" l="1"/>
  <c r="X46" i="1"/>
  <c r="AD46" i="1"/>
  <c r="AG46" i="1" s="1"/>
  <c r="W46" i="1"/>
  <c r="AD43" i="1"/>
  <c r="AG43" i="1" s="1"/>
  <c r="V43" i="1"/>
  <c r="W43" i="1"/>
  <c r="X43" i="1"/>
  <c r="X44" i="1"/>
  <c r="W44" i="1"/>
  <c r="V44" i="1"/>
  <c r="Y44" i="1" s="1"/>
  <c r="AN44" i="1" s="1"/>
  <c r="AD44" i="1"/>
  <c r="V42" i="1" l="1"/>
  <c r="AD42" i="1"/>
  <c r="AG42" i="1" s="1"/>
  <c r="X24" i="1"/>
  <c r="AD24" i="1"/>
  <c r="AG24" i="1" s="1"/>
  <c r="W24" i="1"/>
  <c r="V24" i="1"/>
  <c r="Y24" i="1" s="1"/>
  <c r="W48" i="1"/>
  <c r="Y48" i="1" s="1"/>
  <c r="AN48" i="1" s="1"/>
  <c r="AD48" i="1"/>
  <c r="W47" i="1"/>
  <c r="AD47" i="1"/>
  <c r="X47" i="1"/>
  <c r="Y47" i="1" s="1"/>
  <c r="AN47" i="1" s="1"/>
  <c r="AT44" i="1"/>
  <c r="AO44" i="1"/>
  <c r="AP44" i="1" s="1"/>
  <c r="AU44" i="1" s="1"/>
  <c r="V59" i="1"/>
  <c r="AD59" i="1"/>
  <c r="AG59" i="1" s="1"/>
  <c r="W59" i="1"/>
  <c r="V61" i="1"/>
  <c r="AD61" i="1"/>
  <c r="AG61" i="1" s="1"/>
  <c r="X61" i="1"/>
  <c r="W61" i="1"/>
  <c r="X60" i="1"/>
  <c r="V60" i="1"/>
  <c r="AG60" i="1"/>
  <c r="W60" i="1"/>
  <c r="W38" i="1"/>
  <c r="V38" i="1"/>
  <c r="X38" i="1"/>
  <c r="AD38" i="1"/>
  <c r="AG38" i="1" s="1"/>
  <c r="X63" i="1"/>
  <c r="AD63" i="1"/>
  <c r="AG63" i="1" s="1"/>
  <c r="W63" i="1"/>
  <c r="V63" i="1"/>
  <c r="V67" i="1"/>
  <c r="AD67" i="1"/>
  <c r="X67" i="1"/>
  <c r="W67" i="1"/>
  <c r="W64" i="1"/>
  <c r="AD64" i="1"/>
  <c r="V64" i="1"/>
  <c r="AD45" i="1"/>
  <c r="X45" i="1"/>
  <c r="V45" i="1"/>
  <c r="W45" i="1"/>
  <c r="Y46" i="1"/>
  <c r="AN46" i="1" s="1"/>
  <c r="AN24" i="1"/>
  <c r="AD49" i="1"/>
  <c r="AG49" i="1" s="1"/>
  <c r="W49" i="1"/>
  <c r="X49" i="1"/>
  <c r="X50" i="1"/>
  <c r="AD50" i="1"/>
  <c r="AG50" i="1" s="1"/>
  <c r="W50" i="1"/>
  <c r="V50" i="1"/>
  <c r="V8" i="1"/>
  <c r="AD8" i="1"/>
  <c r="AG8" i="1" s="1"/>
  <c r="X8" i="1"/>
  <c r="W8" i="1"/>
  <c r="V68" i="1"/>
  <c r="AD68" i="1"/>
  <c r="X68" i="1"/>
  <c r="W68" i="1"/>
  <c r="AD9" i="1"/>
  <c r="AG9" i="1" s="1"/>
  <c r="W9" i="1"/>
  <c r="V9" i="1"/>
  <c r="X9" i="1"/>
  <c r="V10" i="1"/>
  <c r="AD10" i="1"/>
  <c r="AG10" i="1" s="1"/>
  <c r="X10" i="1"/>
  <c r="W10" i="1"/>
  <c r="W11" i="1"/>
  <c r="AD11" i="1"/>
  <c r="AG11" i="1" s="1"/>
  <c r="V11" i="1"/>
  <c r="X11" i="1"/>
  <c r="X12" i="1"/>
  <c r="AD12" i="1"/>
  <c r="AG12" i="1" s="1"/>
  <c r="V12" i="1"/>
  <c r="W12" i="1"/>
  <c r="V13" i="1"/>
  <c r="W13" i="1"/>
  <c r="AD13" i="1"/>
  <c r="AG13" i="1" s="1"/>
  <c r="X13" i="1"/>
  <c r="W14" i="1"/>
  <c r="X14" i="1"/>
  <c r="AD14" i="1"/>
  <c r="AG14" i="1" s="1"/>
  <c r="V14" i="1"/>
  <c r="W15" i="1"/>
  <c r="X15" i="1"/>
  <c r="AD15" i="1"/>
  <c r="AG15" i="1" s="1"/>
  <c r="V15" i="1"/>
  <c r="V16" i="1"/>
  <c r="W16" i="1"/>
  <c r="X16" i="1"/>
  <c r="AD16" i="1"/>
  <c r="AG16" i="1" s="1"/>
  <c r="V17" i="1"/>
  <c r="W17" i="1"/>
  <c r="X17" i="1"/>
  <c r="AD17" i="1"/>
  <c r="AG17" i="1" s="1"/>
  <c r="AD18" i="1"/>
  <c r="AG18" i="1" s="1"/>
  <c r="W18" i="1"/>
  <c r="V18" i="1"/>
  <c r="X18" i="1"/>
  <c r="X19" i="1"/>
  <c r="V19" i="1"/>
  <c r="AD19" i="1"/>
  <c r="AG19" i="1" s="1"/>
  <c r="W19" i="1"/>
  <c r="V20" i="1"/>
  <c r="AD20" i="1"/>
  <c r="AG20" i="1" s="1"/>
  <c r="X20" i="1"/>
  <c r="W20" i="1"/>
  <c r="V21" i="1"/>
  <c r="AD21" i="1"/>
  <c r="W21" i="1"/>
  <c r="X21" i="1"/>
  <c r="W22" i="1"/>
  <c r="X22" i="1"/>
  <c r="V22" i="1"/>
  <c r="AD22" i="1"/>
  <c r="AG22" i="1" s="1"/>
  <c r="X23" i="1"/>
  <c r="W23" i="1"/>
  <c r="V23" i="1"/>
  <c r="AD23" i="1"/>
  <c r="W25" i="1"/>
  <c r="X25" i="1"/>
  <c r="AD25" i="1"/>
  <c r="AG25" i="1" s="1"/>
  <c r="V25" i="1"/>
  <c r="AD26" i="1"/>
  <c r="AG26" i="1" s="1"/>
  <c r="W26" i="1"/>
  <c r="X26" i="1"/>
  <c r="V26" i="1"/>
  <c r="W27" i="1"/>
  <c r="X27" i="1"/>
  <c r="AD27" i="1"/>
  <c r="AG27" i="1" s="1"/>
  <c r="V27" i="1"/>
  <c r="V28" i="1"/>
  <c r="AD28" i="1"/>
  <c r="AG28" i="1" s="1"/>
  <c r="X28" i="1"/>
  <c r="W28" i="1"/>
  <c r="V29" i="1"/>
  <c r="AD29" i="1"/>
  <c r="AG29" i="1" s="1"/>
  <c r="X29" i="1"/>
  <c r="W29" i="1"/>
  <c r="V30" i="1"/>
  <c r="AD30" i="1"/>
  <c r="AG30" i="1" s="1"/>
  <c r="X30" i="1"/>
  <c r="W30" i="1"/>
  <c r="V33" i="1"/>
  <c r="AD33" i="1"/>
  <c r="X33" i="1"/>
  <c r="W33" i="1"/>
  <c r="X31" i="1"/>
  <c r="AD31" i="1"/>
  <c r="AG31" i="1" s="1"/>
  <c r="W31" i="1"/>
  <c r="V31" i="1"/>
  <c r="V32" i="1"/>
  <c r="AD32" i="1"/>
  <c r="AG32" i="1" s="1"/>
  <c r="X32" i="1"/>
  <c r="W32" i="1"/>
  <c r="W34" i="1"/>
  <c r="X34" i="1"/>
  <c r="AD34" i="1"/>
  <c r="AG34" i="1" s="1"/>
  <c r="V34" i="1"/>
  <c r="W35" i="1"/>
  <c r="AD35" i="1"/>
  <c r="AG35" i="1" s="1"/>
  <c r="X35" i="1"/>
  <c r="V37" i="1"/>
  <c r="AD37" i="1"/>
  <c r="AG37" i="1" s="1"/>
  <c r="X37" i="1"/>
  <c r="W37" i="1"/>
  <c r="W39" i="1"/>
  <c r="V39" i="1"/>
  <c r="AD39" i="1"/>
  <c r="AG39" i="1" s="1"/>
  <c r="X39" i="1"/>
  <c r="AD40" i="1"/>
  <c r="AG40" i="1" s="1"/>
  <c r="X40" i="1"/>
  <c r="W40" i="1"/>
  <c r="V40" i="1"/>
  <c r="W41" i="1"/>
  <c r="X41" i="1"/>
  <c r="AD41" i="1"/>
  <c r="AG41" i="1" s="1"/>
  <c r="V41" i="1"/>
  <c r="W42" i="1"/>
  <c r="X42" i="1"/>
  <c r="Y43" i="1"/>
  <c r="AN43" i="1" s="1"/>
  <c r="AD51" i="1"/>
  <c r="AG51" i="1" s="1"/>
  <c r="X51" i="1"/>
  <c r="W51" i="1"/>
  <c r="V51" i="1"/>
  <c r="X52" i="1"/>
  <c r="W52" i="1"/>
  <c r="AD52" i="1"/>
  <c r="AG52" i="1" s="1"/>
  <c r="V52" i="1"/>
  <c r="X53" i="1"/>
  <c r="W53" i="1"/>
  <c r="V53" i="1"/>
  <c r="Y53" i="1" s="1"/>
  <c r="AD53" i="1"/>
  <c r="AG53" i="1" s="1"/>
  <c r="V54" i="1"/>
  <c r="X54" i="1"/>
  <c r="W54" i="1"/>
  <c r="AD54" i="1"/>
  <c r="AG54" i="1" s="1"/>
  <c r="AD55" i="1"/>
  <c r="AG55" i="1" s="1"/>
  <c r="V55" i="1"/>
  <c r="W55" i="1"/>
  <c r="X55" i="1"/>
  <c r="AD56" i="1"/>
  <c r="AG56" i="1" s="1"/>
  <c r="X56" i="1"/>
  <c r="W56" i="1"/>
  <c r="V56" i="1"/>
  <c r="W57" i="1"/>
  <c r="X57" i="1"/>
  <c r="AG57" i="1"/>
  <c r="V57" i="1"/>
  <c r="AD58" i="1"/>
  <c r="AG58" i="1" s="1"/>
  <c r="X58" i="1"/>
  <c r="W58" i="1"/>
  <c r="V36" i="1"/>
  <c r="AD36" i="1"/>
  <c r="AG36" i="1" s="1"/>
  <c r="X36" i="1"/>
  <c r="W36" i="1"/>
  <c r="W65" i="1"/>
  <c r="X66" i="1"/>
  <c r="V65" i="1"/>
  <c r="V66" i="1"/>
  <c r="W62" i="1"/>
  <c r="X65" i="1"/>
  <c r="AD66" i="1"/>
  <c r="AD65" i="1"/>
  <c r="W66" i="1"/>
  <c r="Y51" i="1" l="1"/>
  <c r="Y40" i="1"/>
  <c r="AN40" i="1" s="1"/>
  <c r="AT40" i="1" s="1"/>
  <c r="Y27" i="1"/>
  <c r="AN27" i="1" s="1"/>
  <c r="Y41" i="1"/>
  <c r="AN41" i="1" s="1"/>
  <c r="AT41" i="1" s="1"/>
  <c r="Y26" i="1"/>
  <c r="AN26" i="1" s="1"/>
  <c r="AT26" i="1" s="1"/>
  <c r="Y22" i="1"/>
  <c r="AN22" i="1" s="1"/>
  <c r="Y57" i="1"/>
  <c r="AN57" i="1" s="1"/>
  <c r="AT57" i="1" s="1"/>
  <c r="Y14" i="1"/>
  <c r="AN14" i="1" s="1"/>
  <c r="AO14" i="1" s="1"/>
  <c r="AP14" i="1" s="1"/>
  <c r="AU14" i="1" s="1"/>
  <c r="Y64" i="1"/>
  <c r="AN64" i="1" s="1"/>
  <c r="AT48" i="1"/>
  <c r="AO48" i="1"/>
  <c r="AP48" i="1" s="1"/>
  <c r="AU48" i="1" s="1"/>
  <c r="Y15" i="1"/>
  <c r="AN15" i="1" s="1"/>
  <c r="Y34" i="1"/>
  <c r="AN34" i="1" s="1"/>
  <c r="Y31" i="1"/>
  <c r="AN31" i="1" s="1"/>
  <c r="Y25" i="1"/>
  <c r="AN25" i="1" s="1"/>
  <c r="Y65" i="1"/>
  <c r="AN65" i="1" s="1"/>
  <c r="Y52" i="1"/>
  <c r="AN52" i="1" s="1"/>
  <c r="AT46" i="1"/>
  <c r="AO46" i="1"/>
  <c r="AP46" i="1" s="1"/>
  <c r="AU46" i="1" s="1"/>
  <c r="AO24" i="1"/>
  <c r="AP24" i="1" s="1"/>
  <c r="AU24" i="1" s="1"/>
  <c r="AT24" i="1"/>
  <c r="AT47" i="1"/>
  <c r="AO47" i="1"/>
  <c r="AP47" i="1" s="1"/>
  <c r="AU47" i="1" s="1"/>
  <c r="AO26" i="1"/>
  <c r="AP26" i="1" s="1"/>
  <c r="AU26" i="1" s="1"/>
  <c r="AO27" i="1"/>
  <c r="AP27" i="1" s="1"/>
  <c r="AU27" i="1" s="1"/>
  <c r="AT27" i="1"/>
  <c r="AO40" i="1"/>
  <c r="AP40" i="1" s="1"/>
  <c r="AU40" i="1" s="1"/>
  <c r="AT43" i="1"/>
  <c r="AO43" i="1"/>
  <c r="AP43" i="1" s="1"/>
  <c r="AU43" i="1" s="1"/>
  <c r="Y59" i="1"/>
  <c r="AN59" i="1" s="1"/>
  <c r="Y61" i="1"/>
  <c r="AN61" i="1" s="1"/>
  <c r="Y60" i="1"/>
  <c r="AN60" i="1" s="1"/>
  <c r="Y38" i="1"/>
  <c r="AN38" i="1" s="1"/>
  <c r="Y63" i="1"/>
  <c r="AN63" i="1" s="1"/>
  <c r="Y67" i="1"/>
  <c r="AN67" i="1" s="1"/>
  <c r="Y50" i="1"/>
  <c r="AN50" i="1" s="1"/>
  <c r="Y8" i="1"/>
  <c r="AN8" i="1" s="1"/>
  <c r="Y68" i="1"/>
  <c r="AN68" i="1" s="1"/>
  <c r="Y9" i="1"/>
  <c r="AN9" i="1" s="1"/>
  <c r="Y10" i="1"/>
  <c r="AN10" i="1" s="1"/>
  <c r="Y12" i="1"/>
  <c r="AN12" i="1" s="1"/>
  <c r="Y13" i="1"/>
  <c r="AN13" i="1" s="1"/>
  <c r="Y16" i="1"/>
  <c r="AN16" i="1" s="1"/>
  <c r="Y17" i="1"/>
  <c r="AN17" i="1" s="1"/>
  <c r="Y18" i="1"/>
  <c r="AN18" i="1" s="1"/>
  <c r="Y19" i="1"/>
  <c r="AN19" i="1" s="1"/>
  <c r="Y20" i="1"/>
  <c r="AN20" i="1" s="1"/>
  <c r="Y21" i="1"/>
  <c r="AN21" i="1" s="1"/>
  <c r="Y62" i="1"/>
  <c r="AN62" i="1" s="1"/>
  <c r="Y23" i="1"/>
  <c r="AN23" i="1" s="1"/>
  <c r="Y28" i="1"/>
  <c r="AN28" i="1" s="1"/>
  <c r="Y29" i="1"/>
  <c r="AN29" i="1" s="1"/>
  <c r="Y30" i="1"/>
  <c r="AN30" i="1" s="1"/>
  <c r="Y33" i="1"/>
  <c r="AN33" i="1" s="1"/>
  <c r="Y32" i="1"/>
  <c r="AN32" i="1" s="1"/>
  <c r="Y42" i="1"/>
  <c r="AN42" i="1" s="1"/>
  <c r="Y66" i="1"/>
  <c r="AN66" i="1" s="1"/>
  <c r="Y45" i="1"/>
  <c r="AN45" i="1" s="1"/>
  <c r="Y49" i="1"/>
  <c r="AN49" i="1" s="1"/>
  <c r="Y11" i="1"/>
  <c r="AN11" i="1" s="1"/>
  <c r="Y35" i="1"/>
  <c r="AN35" i="1" s="1"/>
  <c r="Y37" i="1"/>
  <c r="AN37" i="1" s="1"/>
  <c r="Y39" i="1"/>
  <c r="AN39" i="1" s="1"/>
  <c r="Y55" i="1"/>
  <c r="AN55" i="1" s="1"/>
  <c r="AN51" i="1"/>
  <c r="AN53" i="1"/>
  <c r="Y54" i="1"/>
  <c r="AN54" i="1" s="1"/>
  <c r="Y56" i="1"/>
  <c r="AN56" i="1" s="1"/>
  <c r="Y58" i="1"/>
  <c r="AN58" i="1" s="1"/>
  <c r="Y36" i="1"/>
  <c r="AN36" i="1" s="1"/>
  <c r="AT14" i="1" l="1"/>
  <c r="AO57" i="1"/>
  <c r="AP57" i="1" s="1"/>
  <c r="AU57" i="1" s="1"/>
  <c r="AO41" i="1"/>
  <c r="AP41" i="1" s="1"/>
  <c r="AU41" i="1" s="1"/>
  <c r="AO64" i="1"/>
  <c r="AP64" i="1" s="1"/>
  <c r="AU64" i="1" s="1"/>
  <c r="AT64" i="1"/>
  <c r="AT15" i="1"/>
  <c r="AO15" i="1"/>
  <c r="AP15" i="1" s="1"/>
  <c r="AU15" i="1" s="1"/>
  <c r="AO34" i="1"/>
  <c r="AP34" i="1" s="1"/>
  <c r="AU34" i="1" s="1"/>
  <c r="AT34" i="1"/>
  <c r="AT31" i="1"/>
  <c r="AO31" i="1"/>
  <c r="AP31" i="1" s="1"/>
  <c r="AU31" i="1" s="1"/>
  <c r="AT65" i="1"/>
  <c r="AO65" i="1"/>
  <c r="AP65" i="1" s="1"/>
  <c r="AU65" i="1" s="1"/>
  <c r="AT52" i="1"/>
  <c r="AO52" i="1"/>
  <c r="AP52" i="1" s="1"/>
  <c r="AU52" i="1" s="1"/>
  <c r="AO59" i="1"/>
  <c r="AP59" i="1" s="1"/>
  <c r="AU59" i="1" s="1"/>
  <c r="AT59" i="1"/>
  <c r="AO61" i="1"/>
  <c r="AP61" i="1" s="1"/>
  <c r="AU61" i="1" s="1"/>
  <c r="AT61" i="1"/>
  <c r="AO60" i="1"/>
  <c r="AP60" i="1" s="1"/>
  <c r="AU60" i="1" s="1"/>
  <c r="AT60" i="1"/>
  <c r="AT38" i="1"/>
  <c r="AO38" i="1"/>
  <c r="AP38" i="1" s="1"/>
  <c r="AU38" i="1" s="1"/>
  <c r="AT63" i="1"/>
  <c r="AO63" i="1"/>
  <c r="AP63" i="1" s="1"/>
  <c r="AU63" i="1" s="1"/>
  <c r="AT67" i="1"/>
  <c r="AO67" i="1"/>
  <c r="AP67" i="1" s="1"/>
  <c r="AU67" i="1" s="1"/>
  <c r="AO50" i="1"/>
  <c r="AP50" i="1" s="1"/>
  <c r="AU50" i="1" s="1"/>
  <c r="AT50" i="1"/>
  <c r="AT8" i="1"/>
  <c r="AO8" i="1"/>
  <c r="AP8" i="1" s="1"/>
  <c r="AU8" i="1" s="1"/>
  <c r="AT68" i="1"/>
  <c r="AO68" i="1"/>
  <c r="AP68" i="1" s="1"/>
  <c r="AU68" i="1" s="1"/>
  <c r="AO9" i="1"/>
  <c r="AP9" i="1" s="1"/>
  <c r="AU9" i="1" s="1"/>
  <c r="AT9" i="1"/>
  <c r="AT10" i="1"/>
  <c r="AO10" i="1"/>
  <c r="AP10" i="1" s="1"/>
  <c r="AU10" i="1" s="1"/>
  <c r="AT12" i="1"/>
  <c r="AO12" i="1"/>
  <c r="AP12" i="1" s="1"/>
  <c r="AU12" i="1" s="1"/>
  <c r="AO13" i="1"/>
  <c r="AP13" i="1" s="1"/>
  <c r="AU13" i="1" s="1"/>
  <c r="AT13" i="1"/>
  <c r="AO16" i="1"/>
  <c r="AP16" i="1" s="1"/>
  <c r="AU16" i="1" s="1"/>
  <c r="AT16" i="1"/>
  <c r="AT17" i="1"/>
  <c r="AO17" i="1"/>
  <c r="AP17" i="1" s="1"/>
  <c r="AU17" i="1" s="1"/>
  <c r="AT22" i="1"/>
  <c r="AO22" i="1"/>
  <c r="AP22" i="1" s="1"/>
  <c r="AU22" i="1" s="1"/>
  <c r="AT18" i="1"/>
  <c r="AO18" i="1"/>
  <c r="AP18" i="1" s="1"/>
  <c r="AU18" i="1" s="1"/>
  <c r="AT19" i="1"/>
  <c r="AO19" i="1"/>
  <c r="AP19" i="1" s="1"/>
  <c r="AU19" i="1" s="1"/>
  <c r="AO20" i="1"/>
  <c r="AP20" i="1" s="1"/>
  <c r="AU20" i="1" s="1"/>
  <c r="AT20" i="1"/>
  <c r="AT21" i="1"/>
  <c r="AO21" i="1"/>
  <c r="AP21" i="1" s="1"/>
  <c r="AU21" i="1" s="1"/>
  <c r="AT62" i="1"/>
  <c r="AO62" i="1"/>
  <c r="AP62" i="1" s="1"/>
  <c r="AU62" i="1" s="1"/>
  <c r="AT23" i="1"/>
  <c r="AO23" i="1"/>
  <c r="AP23" i="1" s="1"/>
  <c r="AU23" i="1" s="1"/>
  <c r="AT25" i="1"/>
  <c r="AO25" i="1"/>
  <c r="AP25" i="1" s="1"/>
  <c r="AU25" i="1" s="1"/>
  <c r="AT28" i="1"/>
  <c r="AO28" i="1"/>
  <c r="AP28" i="1" s="1"/>
  <c r="AU28" i="1" s="1"/>
  <c r="AT29" i="1"/>
  <c r="AO29" i="1"/>
  <c r="AP29" i="1" s="1"/>
  <c r="AU29" i="1" s="1"/>
  <c r="AT30" i="1"/>
  <c r="AO30" i="1"/>
  <c r="AP30" i="1" s="1"/>
  <c r="AU30" i="1" s="1"/>
  <c r="AO33" i="1"/>
  <c r="AP33" i="1" s="1"/>
  <c r="AU33" i="1" s="1"/>
  <c r="AT33" i="1"/>
  <c r="AT32" i="1"/>
  <c r="AO32" i="1"/>
  <c r="AP32" i="1" s="1"/>
  <c r="AU32" i="1" s="1"/>
  <c r="AT42" i="1"/>
  <c r="AO42" i="1"/>
  <c r="AP42" i="1" s="1"/>
  <c r="AU42" i="1" s="1"/>
  <c r="AO66" i="1"/>
  <c r="AP66" i="1" s="1"/>
  <c r="AU66" i="1" s="1"/>
  <c r="AT66" i="1"/>
  <c r="AT45" i="1"/>
  <c r="AO45" i="1"/>
  <c r="AP45" i="1" s="1"/>
  <c r="AU45" i="1" s="1"/>
  <c r="AT49" i="1"/>
  <c r="AO49" i="1"/>
  <c r="AP49" i="1" s="1"/>
  <c r="AU49" i="1" s="1"/>
  <c r="AT11" i="1"/>
  <c r="AO11" i="1"/>
  <c r="AP11" i="1" s="1"/>
  <c r="AU11" i="1" s="1"/>
  <c r="AT35" i="1"/>
  <c r="AO35" i="1"/>
  <c r="AP35" i="1" s="1"/>
  <c r="AU35" i="1" s="1"/>
  <c r="AT37" i="1"/>
  <c r="AO37" i="1"/>
  <c r="AP37" i="1" s="1"/>
  <c r="AU37" i="1" s="1"/>
  <c r="AO39" i="1"/>
  <c r="AP39" i="1" s="1"/>
  <c r="AU39" i="1" s="1"/>
  <c r="AT39" i="1"/>
  <c r="AO55" i="1"/>
  <c r="AP55" i="1" s="1"/>
  <c r="AU55" i="1" s="1"/>
  <c r="AT55" i="1"/>
  <c r="AO51" i="1"/>
  <c r="AP51" i="1" s="1"/>
  <c r="AU51" i="1" s="1"/>
  <c r="AT51" i="1"/>
  <c r="AO53" i="1"/>
  <c r="AP53" i="1" s="1"/>
  <c r="AU53" i="1" s="1"/>
  <c r="AT53" i="1"/>
  <c r="AT54" i="1"/>
  <c r="AO54" i="1"/>
  <c r="AP54" i="1" s="1"/>
  <c r="AU54" i="1" s="1"/>
  <c r="AT56" i="1"/>
  <c r="AO56" i="1"/>
  <c r="AP56" i="1" s="1"/>
  <c r="AU56" i="1" s="1"/>
  <c r="AO58" i="1"/>
  <c r="AP58" i="1" s="1"/>
  <c r="AU58" i="1" s="1"/>
  <c r="AT58" i="1"/>
  <c r="AT36" i="1"/>
  <c r="AO36" i="1"/>
  <c r="AP36" i="1" s="1"/>
  <c r="AU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 Reyes</author>
    <author>tc={4CDF3E00-E969-49CC-B2C9-AA1BD61CE210}</author>
  </authors>
  <commentList>
    <comment ref="O7" authorId="0" shapeId="0" xr:uid="{D1FB3D12-5BFA-4E1E-BADC-160790E6527F}">
      <text>
        <r>
          <rPr>
            <b/>
            <sz val="9"/>
            <color rgb="FF000000"/>
            <rFont val="Tahoma"/>
            <family val="2"/>
          </rPr>
          <t>Katherine Reyes: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5%
</t>
        </r>
        <r>
          <rPr>
            <sz val="9"/>
            <color rgb="FF000000"/>
            <rFont val="Tahoma"/>
            <family val="2"/>
          </rPr>
          <t xml:space="preserve">4%
</t>
        </r>
        <r>
          <rPr>
            <sz val="9"/>
            <color rgb="FF000000"/>
            <rFont val="Tahoma"/>
            <family val="2"/>
          </rPr>
          <t xml:space="preserve">3%
</t>
        </r>
        <r>
          <rPr>
            <sz val="9"/>
            <color rgb="FF000000"/>
            <rFont val="Tahoma"/>
            <family val="2"/>
          </rPr>
          <t xml:space="preserve">2%
</t>
        </r>
        <r>
          <rPr>
            <sz val="9"/>
            <color rgb="FF000000"/>
            <rFont val="Tahoma"/>
            <family val="2"/>
          </rPr>
          <t xml:space="preserve">1%
</t>
        </r>
      </text>
    </comment>
    <comment ref="U7" authorId="0" shapeId="0" xr:uid="{C13D76C9-65A5-4F5A-80C9-7E38285251C2}">
      <text>
        <r>
          <rPr>
            <b/>
            <sz val="9"/>
            <color rgb="FF000000"/>
            <rFont val="Tahoma"/>
            <family val="2"/>
          </rPr>
          <t>Katherine Reyes: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segun la provincia se descuenta el porcentaje ON es 19% y Qc 28% para el real</t>
        </r>
      </text>
    </comment>
    <comment ref="C46" authorId="1" shapeId="0" xr:uid="{4CDF3E00-E969-49CC-B2C9-AA1BD61CE2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Esto es Minto? Porque en payroll indica ese nombre
</t>
      </text>
    </comment>
  </commentList>
</comments>
</file>

<file path=xl/sharedStrings.xml><?xml version="1.0" encoding="utf-8"?>
<sst xmlns="http://schemas.openxmlformats.org/spreadsheetml/2006/main" count="452" uniqueCount="192">
  <si>
    <t>PW</t>
  </si>
  <si>
    <t>EQUIPMENT</t>
  </si>
  <si>
    <t>SUPERVISION</t>
  </si>
  <si>
    <t>Profits</t>
  </si>
  <si>
    <t>SUPPLIES</t>
  </si>
  <si>
    <t>REPAIR</t>
  </si>
  <si>
    <t>LABOR</t>
  </si>
  <si>
    <t>Fees</t>
  </si>
  <si>
    <t>Payroll 24 May -  06 June 2025</t>
  </si>
  <si>
    <t>Master pagos periodos All Companies June 01-15 Vs1.0</t>
  </si>
  <si>
    <t>Master monthly invoicing (all franchisas)</t>
  </si>
  <si>
    <t>Payroll 07 June -  20 June 2025</t>
  </si>
  <si>
    <t>Master pagos periodos All Companies June 16-30</t>
  </si>
  <si>
    <t>Master list payments Subs-Suppliers VS1-2</t>
  </si>
  <si>
    <t xml:space="preserve">Information </t>
  </si>
  <si>
    <t>IN</t>
  </si>
  <si>
    <t>FEES</t>
  </si>
  <si>
    <t xml:space="preserve">PW </t>
  </si>
  <si>
    <t xml:space="preserve">SUPPLIES </t>
  </si>
  <si>
    <t xml:space="preserve">EQUIPMENT </t>
  </si>
  <si>
    <t xml:space="preserve">COMUNICATION </t>
  </si>
  <si>
    <t>Company</t>
  </si>
  <si>
    <t>Project Code</t>
  </si>
  <si>
    <t>Project Name</t>
  </si>
  <si>
    <t>BuildinG ID</t>
  </si>
  <si>
    <t>Start Date</t>
  </si>
  <si>
    <t>En Date</t>
  </si>
  <si>
    <t>Service</t>
  </si>
  <si>
    <t>Province</t>
  </si>
  <si>
    <t>Client</t>
  </si>
  <si>
    <t>Full Build Sq. FT</t>
  </si>
  <si>
    <t>Amount Per Sq. FT</t>
  </si>
  <si>
    <t>Total to Bill</t>
  </si>
  <si>
    <t>Invoice Number</t>
  </si>
  <si>
    <t>Management Fee %</t>
  </si>
  <si>
    <t xml:space="preserve">Total Management Fee </t>
  </si>
  <si>
    <t>Optional Fee %</t>
  </si>
  <si>
    <t>Total Optional Fee</t>
  </si>
  <si>
    <t>Royalty CNET Group Inc 5%</t>
  </si>
  <si>
    <t>Royalty CNET Master 5%</t>
  </si>
  <si>
    <t>Marketing 1%</t>
  </si>
  <si>
    <t>Payroll</t>
  </si>
  <si>
    <t>T4A</t>
  </si>
  <si>
    <t>Subs Inv</t>
  </si>
  <si>
    <t>Franchise</t>
  </si>
  <si>
    <t>Total Labor</t>
  </si>
  <si>
    <t>Total PW</t>
  </si>
  <si>
    <t>Supplies Invoice</t>
  </si>
  <si>
    <t>Supplies Invoice N`</t>
  </si>
  <si>
    <t>Warhouse Movement</t>
  </si>
  <si>
    <t>Total Supplies</t>
  </si>
  <si>
    <t>Buy</t>
  </si>
  <si>
    <t>Finance</t>
  </si>
  <si>
    <t>Total Equipment</t>
  </si>
  <si>
    <t>Supplier Invoice</t>
  </si>
  <si>
    <t>Total Supervision</t>
  </si>
  <si>
    <t>Total Cost Month</t>
  </si>
  <si>
    <t>Real Profits %</t>
  </si>
  <si>
    <t>Total Cost Proyect</t>
  </si>
  <si>
    <t>Variation</t>
  </si>
  <si>
    <t>Savings</t>
  </si>
  <si>
    <t>12433087 Canada Inc</t>
  </si>
  <si>
    <t>1370</t>
  </si>
  <si>
    <t>Regular</t>
  </si>
  <si>
    <t>1600</t>
  </si>
  <si>
    <t>1610</t>
  </si>
  <si>
    <t>1625</t>
  </si>
  <si>
    <t>1634</t>
  </si>
  <si>
    <t>1636</t>
  </si>
  <si>
    <t>1243</t>
  </si>
  <si>
    <t>1648</t>
  </si>
  <si>
    <t>1601</t>
  </si>
  <si>
    <t>1604</t>
  </si>
  <si>
    <t>4039</t>
  </si>
  <si>
    <t>1400</t>
  </si>
  <si>
    <t>1362</t>
  </si>
  <si>
    <t>1380</t>
  </si>
  <si>
    <t>MLR5800CV-BNAI</t>
  </si>
  <si>
    <t>1165 Kenaston 1st fl common area includes washrooms- 1165 Kenaston Call Centre (4002)</t>
  </si>
  <si>
    <t>4018</t>
  </si>
  <si>
    <t>FLR193M</t>
  </si>
  <si>
    <t>4943</t>
  </si>
  <si>
    <t>4938</t>
  </si>
  <si>
    <t>4940</t>
  </si>
  <si>
    <t>5000</t>
  </si>
  <si>
    <t>4015</t>
  </si>
  <si>
    <t>4025</t>
  </si>
  <si>
    <t>4023</t>
  </si>
  <si>
    <t>4027</t>
  </si>
  <si>
    <t>4947</t>
  </si>
  <si>
    <t>4043</t>
  </si>
  <si>
    <t>4054</t>
  </si>
  <si>
    <t>4056</t>
  </si>
  <si>
    <t>4005</t>
  </si>
  <si>
    <t>4004</t>
  </si>
  <si>
    <t>4010</t>
  </si>
  <si>
    <t>4001</t>
  </si>
  <si>
    <t>4016</t>
  </si>
  <si>
    <t>FLR21J420G21JP</t>
  </si>
  <si>
    <t>2600</t>
  </si>
  <si>
    <t>4006</t>
  </si>
  <si>
    <t>4002</t>
  </si>
  <si>
    <t>4028</t>
  </si>
  <si>
    <t>2200</t>
  </si>
  <si>
    <t>4999</t>
  </si>
  <si>
    <t>4935</t>
  </si>
  <si>
    <t>4931</t>
  </si>
  <si>
    <t>GASTOS  FIJOS</t>
  </si>
  <si>
    <t>renta oficina</t>
  </si>
  <si>
    <t>renta WH</t>
  </si>
  <si>
    <t>BELL</t>
  </si>
  <si>
    <t>Bureautech</t>
  </si>
  <si>
    <t>EM3</t>
  </si>
  <si>
    <t>embridge</t>
  </si>
  <si>
    <t>fido</t>
  </si>
  <si>
    <t>Hydro ottawa</t>
  </si>
  <si>
    <t>Insurance Victor</t>
  </si>
  <si>
    <t>Seguro empresa</t>
  </si>
  <si>
    <t>Celphone Oficcce</t>
  </si>
  <si>
    <t>toyota</t>
  </si>
  <si>
    <t>honda</t>
  </si>
  <si>
    <t>Gasolina</t>
  </si>
  <si>
    <t>Sueldo oficina</t>
  </si>
  <si>
    <t>Prestamo bdc</t>
  </si>
  <si>
    <t>Optional Fee</t>
  </si>
  <si>
    <t>2310 St Louis-Gatineau (FSKLR2310STL)</t>
  </si>
  <si>
    <t>Cavendish Mall (1362)</t>
  </si>
  <si>
    <t>4725 Cousens (1380)</t>
  </si>
  <si>
    <t>7077-7101 Parc (1400)</t>
  </si>
  <si>
    <t>5907 Henri Bourassa-Annexair</t>
  </si>
  <si>
    <t>MACH-5100 Sherbrooke E (1600)</t>
  </si>
  <si>
    <t>MACH-1080 Beaver Hall (1610)</t>
  </si>
  <si>
    <t>MACH-2100 Maisonneuve (1625)</t>
  </si>
  <si>
    <t>MACH-625 Rene Levesque (1634)</t>
  </si>
  <si>
    <t>MACH-8 Place De Commerce (1636)</t>
  </si>
  <si>
    <t>MACH-1155 Robert Bourassa (1243)</t>
  </si>
  <si>
    <t>MACH-825 St Laurent-Longueil (1648)</t>
  </si>
  <si>
    <t>MACH-2001 McGill (1601)</t>
  </si>
  <si>
    <t>MACH-201-211 Laurier Ave East-(1604)</t>
  </si>
  <si>
    <t>MACH-550 De la Cite-(4039)</t>
  </si>
  <si>
    <t>MACH-1155 Robert Bourassa- Suite 11th floor- 2 days x week (1243)</t>
  </si>
  <si>
    <t>MACH-550 De la Cite-Lower level</t>
  </si>
  <si>
    <t>MACH-1080 Beaver Hall- suite 1410- 1 fridge monthly 2 micro weekly  (1610)</t>
  </si>
  <si>
    <t>MACH-1080 Beaver Hall- Microonde suite 1720- last friday of month  (1610)</t>
  </si>
  <si>
    <t>MACH-1080 Beaver Hall - upgrade lave vaiselle suite 6th floor twice 2 weeks  (1610)</t>
  </si>
  <si>
    <t>MACH-1080 Beaver Hall - suite 1512-Sweep and mop floors at data centre once per week  (1610)</t>
  </si>
  <si>
    <t>MACH-2001 McGill-Extra service menager CIM (1601)</t>
  </si>
  <si>
    <t>MACH-2001 McGill-Extra service menager Nothbolt (1601)</t>
  </si>
  <si>
    <t>MACH-2001 McGill-Extra service menager -SITA (1601)</t>
  </si>
  <si>
    <t>MACH-2001 McGill-Extra service menager -L&amp;A Chagnon (1601)</t>
  </si>
  <si>
    <t>MACH-2001 McGill-Extra service menager - Extra Clinic</t>
  </si>
  <si>
    <t>Cavendish Mall Suite C14-B'nai Brith Canada (1264)</t>
  </si>
  <si>
    <t>1250 Ages training area (upstaris washroom) and office (4028)</t>
  </si>
  <si>
    <t>1630 Startop (4004)</t>
  </si>
  <si>
    <t>3955 Old richmond (4006)</t>
  </si>
  <si>
    <t>160 George weekend service (2600)</t>
  </si>
  <si>
    <t>311 McArthur (4010)</t>
  </si>
  <si>
    <t>1081 Ambleside Drive (2200)</t>
  </si>
  <si>
    <t>193 Metcalfe-Corridor (4942)</t>
  </si>
  <si>
    <t>454 Laurier E-Embassy of Egypt (4947)</t>
  </si>
  <si>
    <t>JR Saints (4015)</t>
  </si>
  <si>
    <t>Minto - 1749-24-03 Janitorial Services – Carlisle Residential (221 Lyon)</t>
  </si>
  <si>
    <t>440 Laurier Commercial (4016)</t>
  </si>
  <si>
    <t>1341 Meadowlands-Parkwood Hills-Package 1-2-3-4-5-6 and SKYLINE 30 Eleanor and carpet program and ozone machine-239&amp;249 craig henry (5000) - Malp</t>
  </si>
  <si>
    <t>1341 Meadowlands-Parkwood Hills-Package 1-2-3-4-5-6 and SKYLINE 30 Eleanor and carpet program and ozone machine-239&amp;249 craig henry (5000) - Multi res</t>
  </si>
  <si>
    <t>99 Fifth (Bank &amp; fifth) Residential (4018)</t>
  </si>
  <si>
    <t>Minto - 1749-24-02 Janitorial Services - 99 Fifth – Fifth + Bank Commercial</t>
  </si>
  <si>
    <t>Media Plus (4023)</t>
  </si>
  <si>
    <t>1000 Castle Hill - 18 Deerfield - 20 Deerfield (4943)</t>
  </si>
  <si>
    <t>302 Legget Drive-MDA and carpet program (4999)</t>
  </si>
  <si>
    <t>1400 St Laurent (4931)</t>
  </si>
  <si>
    <t>MACH-1801 Hollis (4054)</t>
  </si>
  <si>
    <t>MACH-99 Wyse (4055)</t>
  </si>
  <si>
    <t>OPA (4025)</t>
  </si>
  <si>
    <t>366 Brant (4001)</t>
  </si>
  <si>
    <t>21 James - 420 Gilmour - 21 James Parking (4938-1)</t>
  </si>
  <si>
    <t>101 Boulevard Cardinal Leger</t>
  </si>
  <si>
    <t>219 Argyle Av</t>
  </si>
  <si>
    <t>Royalmount Shopping Centre -Janitorial Services MALL</t>
  </si>
  <si>
    <t>Royalmount Mall - RENNAI STORE</t>
  </si>
  <si>
    <t>Royalmount Mall - lavage des serviettes des vestiaires de la salle d'employé (2x semaine)</t>
  </si>
  <si>
    <t>Royalmount Mall - Service de lavage des serviettes au 8500 Decarie</t>
  </si>
  <si>
    <t>Janitorial Service Royalmount Mall - Delysee Café (1272)</t>
  </si>
  <si>
    <t>CEP 15 Capella Court Unit 130 (CEPFLR15C)</t>
  </si>
  <si>
    <t>SKYLINE</t>
  </si>
  <si>
    <t>CONTROLNET</t>
  </si>
  <si>
    <t>ALLEN MAINTENANCE</t>
  </si>
  <si>
    <t>CCI Ottawa</t>
  </si>
  <si>
    <t>CEP</t>
  </si>
  <si>
    <t>Quebec</t>
  </si>
  <si>
    <t>Ontario</t>
  </si>
  <si>
    <t>Total gastos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</si>
</sst>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0%;[Red]\-0%"/>
    <numFmt numFmtId="167" formatCode="#,##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7" tint="0.7999816888943144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</cellStyleXfs>
  <cellXfs count="63">
    <xf numFmtId="0" fontId="0" fillId="0" borderId="0" xfId="0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distributed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4" fillId="2" borderId="0" xfId="0" applyNumberFormat="1" applyFont="1" applyFill="1"/>
    <xf numFmtId="4" fontId="4" fillId="2" borderId="0" xfId="0" applyNumberFormat="1" applyFont="1" applyFill="1"/>
    <xf numFmtId="4" fontId="4" fillId="0" borderId="0" xfId="0" applyNumberFormat="1" applyFont="1"/>
    <xf numFmtId="0" fontId="5" fillId="3" borderId="0" xfId="2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6" fillId="5" borderId="0" xfId="2" applyNumberFormat="1" applyFont="1" applyFill="1"/>
    <xf numFmtId="164" fontId="6" fillId="5" borderId="0" xfId="2" applyNumberFormat="1" applyFont="1" applyFill="1" applyAlignment="1">
      <alignment horizontal="center"/>
    </xf>
    <xf numFmtId="9" fontId="0" fillId="0" borderId="0" xfId="1" applyFont="1"/>
    <xf numFmtId="2" fontId="0" fillId="0" borderId="0" xfId="0" applyNumberFormat="1"/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166" fontId="0" fillId="0" borderId="0" xfId="1" applyNumberFormat="1" applyFont="1"/>
    <xf numFmtId="165" fontId="0" fillId="0" borderId="0" xfId="1" applyNumberFormat="1" applyFont="1"/>
    <xf numFmtId="167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10" fillId="0" borderId="0" xfId="3" applyFont="1"/>
    <xf numFmtId="4" fontId="10" fillId="0" borderId="0" xfId="3" applyNumberFormat="1" applyFont="1"/>
    <xf numFmtId="10" fontId="0" fillId="0" borderId="0" xfId="0" applyNumberFormat="1"/>
    <xf numFmtId="9" fontId="0" fillId="0" borderId="0" xfId="0" applyNumberFormat="1"/>
    <xf numFmtId="0" fontId="0" fillId="0" borderId="1" xfId="0" applyBorder="1" applyAlignment="1">
      <alignment horizontal="center" vertical="distributed"/>
    </xf>
    <xf numFmtId="166" fontId="0" fillId="0" borderId="0" xfId="1" applyNumberFormat="1" applyFont="1" applyFill="1"/>
    <xf numFmtId="0" fontId="5" fillId="3" borderId="0" xfId="2" applyFont="1" applyFill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1" fillId="0" borderId="0" xfId="3" applyFont="1"/>
    <xf numFmtId="4" fontId="11" fillId="0" borderId="0" xfId="3" applyNumberFormat="1" applyFont="1"/>
  </cellXfs>
  <cellStyles count="4">
    <cellStyle name="Hyperlink" xfId="2" builtinId="8"/>
    <cellStyle name="Normal" xfId="0" builtinId="0"/>
    <cellStyle name="Normal 619" xfId="3" xr:uid="{2B7DE66F-5253-41E5-A581-218188616483}"/>
    <cellStyle name="Percent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2433087%20CANADA%20INC-MASTER/10-Katy-Gzl/Costing%20and%20Budgets%20Report/2026/Regular/06.%20Budget%20vs%20Real%20Jan%2026.xlsx" TargetMode="External"/><Relationship Id="rId1" Type="http://schemas.openxmlformats.org/officeDocument/2006/relationships/externalLinkPath" Target="https://groupcastillo.sharepoint.com/sites/GroupCastilloTeamSite/Shared%20Documents/General/12433087%20CANADA%20INC-MASTER/10-Katy-Gzl/Costing%20and%20Budgets%20Report/2026/Regular/06.%20Budget%20vs%20Real%20Jan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2433087%20CANADA%20INC-MASTER/10-Katy-Gzl/Invoicing/2026/Master%20monthly%20invoicing%20(all%20franchises)%202026.xlsx" TargetMode="External"/><Relationship Id="rId1" Type="http://schemas.openxmlformats.org/officeDocument/2006/relationships/externalLinkPath" Target="https://groupcastillo.sharepoint.com/sites/GroupCastilloTeamSite/Shared%20Documents/General/12433087%20CANADA%20INC-MASTER/10-Katy-Gzl/Invoicing/2026/Master%20monthly%20invoicing%20(all%20franchise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0696480%20CANADA%20LTD/01-Pato-Gzl/Suppliers/2026/2026%2001-Jan%20Master%20list%20payments%20Subs-Suppliers.xlsx" TargetMode="External"/><Relationship Id="rId1" Type="http://schemas.openxmlformats.org/officeDocument/2006/relationships/externalLinkPath" Target="https://groupcastillo.sharepoint.com/sites/GroupCastilloTeamSite/Shared%20Documents/General/10696480%20CANADA%20LTD/01-Pato-Gzl/Suppliers/2026/2026%2001-Jan%20Master%20list%20payments%20Subs-Suppli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ers"/>
      <sheetName val="Project OP"/>
      <sheetName val="Real OP"/>
      <sheetName val="TVOP2"/>
      <sheetName val="Data OP"/>
      <sheetName val="Dashboard OP"/>
      <sheetName val="Project Master"/>
      <sheetName val="Real Master"/>
      <sheetName val="Sheet1"/>
      <sheetName val="TVM"/>
      <sheetName val="Data M"/>
      <sheetName val="Dashboard Master"/>
    </sheetNames>
    <sheetDataSet>
      <sheetData sheetId="0"/>
      <sheetData sheetId="1"/>
      <sheetData sheetId="2">
        <row r="1">
          <cell r="A1">
            <v>45838</v>
          </cell>
        </row>
      </sheetData>
      <sheetData sheetId="3"/>
      <sheetData sheetId="4"/>
      <sheetData sheetId="5"/>
      <sheetData sheetId="6">
        <row r="7">
          <cell r="AC7" t="str">
            <v>Total Cost</v>
          </cell>
        </row>
        <row r="8">
          <cell r="AC8">
            <v>21252</v>
          </cell>
        </row>
        <row r="9">
          <cell r="AC9">
            <v>1370.6067999999998</v>
          </cell>
        </row>
        <row r="10">
          <cell r="AC10">
            <v>25048.094799999995</v>
          </cell>
        </row>
        <row r="11">
          <cell r="AC11">
            <v>232.9348</v>
          </cell>
        </row>
        <row r="12">
          <cell r="AC12">
            <v>33474.264399999993</v>
          </cell>
        </row>
        <row r="13">
          <cell r="AC13">
            <v>22339.127199999995</v>
          </cell>
        </row>
        <row r="14">
          <cell r="AC14">
            <v>1778.4336000000001</v>
          </cell>
        </row>
        <row r="15">
          <cell r="AC15">
            <v>944.83999999999992</v>
          </cell>
        </row>
        <row r="16">
          <cell r="AC16">
            <v>9405.0036000000018</v>
          </cell>
        </row>
        <row r="17">
          <cell r="AC17">
            <v>42840.729200000002</v>
          </cell>
        </row>
        <row r="18">
          <cell r="AC18">
            <v>11622.7556</v>
          </cell>
        </row>
        <row r="19">
          <cell r="AC19">
            <v>21462.109600000003</v>
          </cell>
        </row>
        <row r="20">
          <cell r="AC20">
            <v>322</v>
          </cell>
        </row>
        <row r="21">
          <cell r="AC21">
            <v>356.56439999999992</v>
          </cell>
        </row>
        <row r="22">
          <cell r="AC22">
            <v>82.800000000000011</v>
          </cell>
        </row>
        <row r="23">
          <cell r="AC23">
            <v>18.400000000000002</v>
          </cell>
        </row>
        <row r="24">
          <cell r="AC24">
            <v>32.200000000000003</v>
          </cell>
        </row>
        <row r="25">
          <cell r="AC25">
            <v>96.600000000000009</v>
          </cell>
        </row>
        <row r="26">
          <cell r="AC26">
            <v>276</v>
          </cell>
        </row>
        <row r="27">
          <cell r="AC27">
            <v>216.20000000000002</v>
          </cell>
        </row>
        <row r="28">
          <cell r="AC28">
            <v>184</v>
          </cell>
        </row>
        <row r="29">
          <cell r="AC29">
            <v>248.39999999999998</v>
          </cell>
        </row>
        <row r="30">
          <cell r="AC30">
            <v>2640.3999999999996</v>
          </cell>
        </row>
        <row r="31">
          <cell r="AC31">
            <v>69</v>
          </cell>
        </row>
        <row r="32">
          <cell r="AC32">
            <v>6560.8604000000005</v>
          </cell>
        </row>
        <row r="33">
          <cell r="AC33">
            <v>286.46960000000001</v>
          </cell>
        </row>
        <row r="34">
          <cell r="AC34">
            <v>2422.3599999999997</v>
          </cell>
        </row>
        <row r="35">
          <cell r="AC35">
            <v>847.35679999999991</v>
          </cell>
        </row>
        <row r="36">
          <cell r="AC36">
            <v>621</v>
          </cell>
        </row>
        <row r="37">
          <cell r="AC37">
            <v>4823.3391999999994</v>
          </cell>
        </row>
        <row r="38">
          <cell r="AC38">
            <v>7696.7568000000001</v>
          </cell>
        </row>
        <row r="39">
          <cell r="AC39">
            <v>230</v>
          </cell>
        </row>
        <row r="40">
          <cell r="AC40">
            <v>1702</v>
          </cell>
        </row>
        <row r="41">
          <cell r="AC41">
            <v>2105.4752000000003</v>
          </cell>
        </row>
        <row r="42">
          <cell r="AC42">
            <v>345</v>
          </cell>
        </row>
        <row r="43">
          <cell r="AC43">
            <v>4665.3108000000002</v>
          </cell>
        </row>
        <row r="44">
          <cell r="AC44">
            <v>2703.0703999999996</v>
          </cell>
        </row>
        <row r="45">
          <cell r="AC45">
            <v>57546.506000000001</v>
          </cell>
        </row>
        <row r="46">
          <cell r="AC46">
            <v>3860.2372</v>
          </cell>
        </row>
        <row r="47">
          <cell r="AC47">
            <v>1955.7268000000001</v>
          </cell>
        </row>
        <row r="48">
          <cell r="AC48">
            <v>340.77719999999999</v>
          </cell>
        </row>
        <row r="49">
          <cell r="AC49">
            <v>9556.9507999999987</v>
          </cell>
        </row>
        <row r="50">
          <cell r="AC50">
            <v>3373.5203999999999</v>
          </cell>
        </row>
        <row r="52">
          <cell r="AC52">
            <v>3777.0692000000004</v>
          </cell>
        </row>
        <row r="53">
          <cell r="AC53">
            <v>552</v>
          </cell>
        </row>
        <row r="54">
          <cell r="AC54">
            <v>3879.6399999999994</v>
          </cell>
        </row>
        <row r="55">
          <cell r="AC55">
            <v>930.89279999999985</v>
          </cell>
        </row>
        <row r="56">
          <cell r="AC56">
            <v>2758.2335999999996</v>
          </cell>
        </row>
        <row r="57">
          <cell r="AC57">
            <v>11500</v>
          </cell>
        </row>
        <row r="58">
          <cell r="AC58">
            <v>10644.528799999998</v>
          </cell>
        </row>
        <row r="59">
          <cell r="AC59">
            <v>6859.975396848602</v>
          </cell>
        </row>
        <row r="60">
          <cell r="AC60">
            <v>57488.655978440947</v>
          </cell>
        </row>
        <row r="61">
          <cell r="AC61">
            <v>5517.9122440000001</v>
          </cell>
        </row>
        <row r="62">
          <cell r="AC62">
            <v>15109.936720638378</v>
          </cell>
        </row>
        <row r="63">
          <cell r="AC63">
            <v>13847.154263469825</v>
          </cell>
        </row>
        <row r="64">
          <cell r="AC64">
            <v>91080</v>
          </cell>
        </row>
        <row r="65">
          <cell r="AC65">
            <v>253</v>
          </cell>
        </row>
        <row r="66">
          <cell r="AC66">
            <v>276</v>
          </cell>
        </row>
        <row r="67">
          <cell r="AC67">
            <v>397.43999999999994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 2026"/>
      <sheetName val="February 2026"/>
      <sheetName val="March 2026"/>
      <sheetName val="Vacancies"/>
      <sheetName val="Multi res"/>
      <sheetName val="Malp"/>
      <sheetName val="List"/>
      <sheetName val="CAWI"/>
    </sheetNames>
    <sheetDataSet>
      <sheetData sheetId="0">
        <row r="13">
          <cell r="E13" t="str">
            <v>2310 St Louis-Gatineau (FSKLR2310STL)</v>
          </cell>
          <cell r="F13" t="str">
            <v>Janitorial Services</v>
          </cell>
          <cell r="G13" t="str">
            <v>2310 St Louis-Gatineau (FSKLR2310STL) - Janitorial Services</v>
          </cell>
          <cell r="H13" t="str">
            <v>Quebec</v>
          </cell>
          <cell r="I13" t="str">
            <v>Regular</v>
          </cell>
          <cell r="J13" t="str">
            <v>SKYLINE</v>
          </cell>
          <cell r="K13">
            <v>1829.37</v>
          </cell>
          <cell r="L13">
            <v>5163</v>
          </cell>
          <cell r="M13" t="str">
            <v>Katharine</v>
          </cell>
          <cell r="N13" t="str">
            <v>INVOICE-4824</v>
          </cell>
        </row>
        <row r="14">
          <cell r="E14" t="str">
            <v>Cavendish Mall (1362)</v>
          </cell>
          <cell r="F14" t="str">
            <v>Janitorial Services</v>
          </cell>
          <cell r="G14" t="str">
            <v>Cavendish Mall (1362) - Janitorial Services</v>
          </cell>
          <cell r="H14" t="str">
            <v>Quebec</v>
          </cell>
          <cell r="I14" t="str">
            <v>Regular</v>
          </cell>
          <cell r="J14" t="str">
            <v>CONTROLNET</v>
          </cell>
          <cell r="K14">
            <v>23100</v>
          </cell>
          <cell r="L14">
            <v>5164</v>
          </cell>
          <cell r="M14">
            <v>7327</v>
          </cell>
          <cell r="N14" t="str">
            <v>INVOICE-4825</v>
          </cell>
        </row>
        <row r="15">
          <cell r="E15" t="str">
            <v>4725 Cousens (1380)</v>
          </cell>
          <cell r="F15" t="str">
            <v>Janitorial Services</v>
          </cell>
          <cell r="G15" t="str">
            <v>4725 Cousens (1380) - Janitorial Services</v>
          </cell>
          <cell r="H15" t="str">
            <v>Quebec</v>
          </cell>
          <cell r="I15" t="str">
            <v>Regular</v>
          </cell>
          <cell r="J15" t="str">
            <v>CONTROLNET</v>
          </cell>
          <cell r="K15">
            <v>1489.79</v>
          </cell>
          <cell r="L15">
            <v>5165</v>
          </cell>
          <cell r="M15">
            <v>7328</v>
          </cell>
          <cell r="N15" t="str">
            <v>INVOICE-4826</v>
          </cell>
        </row>
        <row r="16">
          <cell r="E16" t="str">
            <v>7077-7101 Parc (1400)</v>
          </cell>
          <cell r="F16" t="str">
            <v>Janitorial Services</v>
          </cell>
          <cell r="G16" t="str">
            <v>7077-7101 Parc (1400) - Janitorial Services</v>
          </cell>
          <cell r="H16" t="str">
            <v>Quebec</v>
          </cell>
          <cell r="I16" t="str">
            <v>Regular</v>
          </cell>
          <cell r="J16" t="str">
            <v>CONTROLNET</v>
          </cell>
          <cell r="K16">
            <v>27226.19</v>
          </cell>
          <cell r="L16">
            <v>5166</v>
          </cell>
          <cell r="M16">
            <v>7320</v>
          </cell>
          <cell r="N16" t="str">
            <v>INVOICE-4827</v>
          </cell>
        </row>
        <row r="17">
          <cell r="E17" t="str">
            <v>5907 Henri Bourassa-Annexair</v>
          </cell>
          <cell r="F17" t="str">
            <v>Janitorial Services</v>
          </cell>
          <cell r="G17" t="str">
            <v>5907 Henri Bourassa-Annexair - Janitorial Services</v>
          </cell>
          <cell r="H17" t="str">
            <v>Quebec</v>
          </cell>
          <cell r="I17" t="str">
            <v>Regular</v>
          </cell>
          <cell r="J17" t="str">
            <v>CONTROLNET</v>
          </cell>
          <cell r="K17">
            <v>253.19</v>
          </cell>
          <cell r="L17">
            <v>5167</v>
          </cell>
          <cell r="M17">
            <v>8357</v>
          </cell>
          <cell r="N17" t="str">
            <v>INVOICE-4828</v>
          </cell>
        </row>
        <row r="18">
          <cell r="E18" t="str">
            <v>MACH-5100 Sherbrooke E (1600)</v>
          </cell>
          <cell r="F18" t="str">
            <v>Janitorial Services</v>
          </cell>
          <cell r="G18" t="str">
            <v>MACH-5100 Sherbrooke E (1600) - Janitorial Services</v>
          </cell>
          <cell r="H18" t="str">
            <v>Quebec</v>
          </cell>
          <cell r="I18" t="str">
            <v>Regular</v>
          </cell>
          <cell r="J18" t="str">
            <v>CONTROLNET</v>
          </cell>
          <cell r="K18">
            <v>36385.07</v>
          </cell>
          <cell r="L18">
            <v>5168</v>
          </cell>
          <cell r="M18">
            <v>7731</v>
          </cell>
          <cell r="N18" t="str">
            <v>INVOICE-4829</v>
          </cell>
        </row>
        <row r="19">
          <cell r="E19" t="str">
            <v>MACH-1080 Beaver Hall (1610)</v>
          </cell>
          <cell r="F19" t="str">
            <v>Janitorial Services</v>
          </cell>
          <cell r="G19" t="str">
            <v>MACH-1080 Beaver Hall (1610) - Janitorial Services</v>
          </cell>
          <cell r="H19" t="str">
            <v>Quebec</v>
          </cell>
          <cell r="I19" t="str">
            <v>Regular</v>
          </cell>
          <cell r="J19" t="str">
            <v>CONTROLNET</v>
          </cell>
          <cell r="K19">
            <v>24281.66</v>
          </cell>
          <cell r="L19">
            <v>5169</v>
          </cell>
          <cell r="M19">
            <v>7732</v>
          </cell>
          <cell r="N19" t="str">
            <v>INVOICE-4830</v>
          </cell>
        </row>
        <row r="20">
          <cell r="E20" t="str">
            <v>MACH-2100 Maisonneuve (1625)</v>
          </cell>
          <cell r="F20" t="str">
            <v>Janitorial Services</v>
          </cell>
          <cell r="G20" t="str">
            <v>MACH-2100 Maisonneuve (1625) - Janitorial Services</v>
          </cell>
          <cell r="H20" t="str">
            <v>Quebec</v>
          </cell>
          <cell r="I20" t="str">
            <v>Regular</v>
          </cell>
          <cell r="J20" t="str">
            <v>CONTROLNET</v>
          </cell>
          <cell r="K20">
            <v>1933.08</v>
          </cell>
          <cell r="L20">
            <v>5170</v>
          </cell>
          <cell r="M20">
            <v>7733</v>
          </cell>
          <cell r="N20" t="str">
            <v>INVOICE-4831</v>
          </cell>
        </row>
        <row r="21">
          <cell r="E21" t="str">
            <v>MACH-625 Rene Levesque (1634)</v>
          </cell>
          <cell r="F21" t="str">
            <v>Janitorial Services</v>
          </cell>
          <cell r="G21" t="str">
            <v>MACH-625 Rene Levesque (1634) - Janitorial Services</v>
          </cell>
          <cell r="H21" t="str">
            <v>Quebec</v>
          </cell>
          <cell r="I21" t="str">
            <v>Regular</v>
          </cell>
          <cell r="J21" t="str">
            <v>CONTROLNET</v>
          </cell>
          <cell r="K21">
            <v>7456.4949965745682</v>
          </cell>
          <cell r="L21">
            <v>5171</v>
          </cell>
          <cell r="M21">
            <v>7734</v>
          </cell>
          <cell r="N21" t="str">
            <v>INVOICE-4832</v>
          </cell>
        </row>
        <row r="22">
          <cell r="E22" t="str">
            <v>MACH-8 Place De Commerce (1636)</v>
          </cell>
          <cell r="F22" t="str">
            <v>Janitorial Services</v>
          </cell>
          <cell r="G22" t="str">
            <v>MACH-8 Place De Commerce (1636) - Janitorial Services</v>
          </cell>
          <cell r="H22" t="str">
            <v>Quebec</v>
          </cell>
          <cell r="I22" t="str">
            <v>Regular</v>
          </cell>
          <cell r="J22" t="str">
            <v>CONTROLNET</v>
          </cell>
          <cell r="K22">
            <v>1027</v>
          </cell>
          <cell r="L22">
            <v>5172</v>
          </cell>
          <cell r="M22">
            <v>7735</v>
          </cell>
          <cell r="N22" t="str">
            <v>INVOICE-4833</v>
          </cell>
        </row>
        <row r="23">
          <cell r="E23" t="str">
            <v>MACH-1155 Robert Bourassa (1243)</v>
          </cell>
          <cell r="F23" t="str">
            <v>Janitorial Services</v>
          </cell>
          <cell r="G23" t="str">
            <v>MACH-1155 Robert Bourassa (1243) - Janitorial Services</v>
          </cell>
          <cell r="H23" t="str">
            <v>Quebec</v>
          </cell>
          <cell r="I23" t="str">
            <v>Regular</v>
          </cell>
          <cell r="J23" t="str">
            <v>CONTROLNET</v>
          </cell>
          <cell r="K23">
            <v>10222.83</v>
          </cell>
          <cell r="L23">
            <v>5173</v>
          </cell>
          <cell r="M23">
            <v>7736</v>
          </cell>
          <cell r="N23" t="str">
            <v>INVOICE-4834</v>
          </cell>
        </row>
        <row r="24">
          <cell r="E24" t="str">
            <v>MACH-825 St Laurent-Longueil (1648)</v>
          </cell>
          <cell r="F24" t="str">
            <v>Janitorial Services</v>
          </cell>
          <cell r="G24" t="str">
            <v>MACH-825 St Laurent-Longueil (1648) - Janitorial Services</v>
          </cell>
          <cell r="H24" t="str">
            <v>Quebec</v>
          </cell>
          <cell r="I24" t="str">
            <v>Regular</v>
          </cell>
          <cell r="J24" t="str">
            <v>CONTROLNET</v>
          </cell>
          <cell r="K24">
            <v>46566.01</v>
          </cell>
          <cell r="L24">
            <v>5174</v>
          </cell>
          <cell r="M24">
            <v>7915</v>
          </cell>
          <cell r="N24" t="str">
            <v>INVOICE-4835</v>
          </cell>
        </row>
        <row r="25">
          <cell r="E25" t="str">
            <v>MACH-2001 McGill (1601)</v>
          </cell>
          <cell r="F25" t="str">
            <v>Janitorial Services</v>
          </cell>
          <cell r="G25" t="str">
            <v>MACH-2001 McGill (1601) - Janitorial Services</v>
          </cell>
          <cell r="H25" t="str">
            <v>Quebec</v>
          </cell>
          <cell r="I25" t="str">
            <v>Regular</v>
          </cell>
          <cell r="J25" t="str">
            <v>CONTROLNET</v>
          </cell>
          <cell r="K25">
            <v>60192.367301999926</v>
          </cell>
          <cell r="L25">
            <v>5175</v>
          </cell>
          <cell r="M25">
            <v>7737</v>
          </cell>
          <cell r="N25" t="str">
            <v>INVOICE-4836</v>
          </cell>
        </row>
        <row r="26">
          <cell r="E26" t="str">
            <v>MACH-201-211 Laurier Ave East-(1604)</v>
          </cell>
          <cell r="F26" t="str">
            <v>Janitorial Services</v>
          </cell>
          <cell r="G26" t="str">
            <v>MACH-201-211 Laurier Ave East-(1604) - Janitorial Services</v>
          </cell>
          <cell r="H26" t="str">
            <v>Quebec</v>
          </cell>
          <cell r="I26" t="str">
            <v>Regular</v>
          </cell>
          <cell r="J26" t="str">
            <v>CONTROLNET</v>
          </cell>
          <cell r="K26">
            <v>12633.43</v>
          </cell>
          <cell r="L26">
            <v>5176</v>
          </cell>
          <cell r="M26">
            <v>7967</v>
          </cell>
          <cell r="N26" t="str">
            <v>INVOICE-4837</v>
          </cell>
        </row>
        <row r="27">
          <cell r="E27" t="str">
            <v>MACH-550 De la Cite-(4039)</v>
          </cell>
          <cell r="F27" t="str">
            <v>Janitorial Services</v>
          </cell>
          <cell r="G27" t="str">
            <v>MACH-550 De la Cite-(4039) - Janitorial Services</v>
          </cell>
          <cell r="H27" t="str">
            <v>Quebec</v>
          </cell>
          <cell r="I27" t="str">
            <v>Regular</v>
          </cell>
          <cell r="J27" t="str">
            <v>ALLEN MAINTENANCE</v>
          </cell>
          <cell r="K27">
            <v>23328.38</v>
          </cell>
          <cell r="L27">
            <v>5177</v>
          </cell>
          <cell r="M27">
            <v>7755</v>
          </cell>
          <cell r="N27" t="str">
            <v>INVOICE-4838</v>
          </cell>
        </row>
        <row r="28">
          <cell r="E28" t="str">
            <v>MACH-1155 Robert Bourassa- Suite 11th floor- 2 days x week (1243)</v>
          </cell>
          <cell r="F28" t="str">
            <v>Janitorial Services</v>
          </cell>
          <cell r="G28" t="str">
            <v>MACH-1155 Robert Bourassa- Suite 11th floor- 2 days x week (1243) - Janitorial Services</v>
          </cell>
          <cell r="H28" t="str">
            <v>Quebec</v>
          </cell>
          <cell r="I28" t="str">
            <v>Regular</v>
          </cell>
          <cell r="J28" t="str">
            <v>CONTROLNET</v>
          </cell>
          <cell r="K28">
            <v>387.57</v>
          </cell>
          <cell r="L28">
            <v>5178</v>
          </cell>
          <cell r="M28">
            <v>8258</v>
          </cell>
          <cell r="N28" t="str">
            <v>INVOICE-4839</v>
          </cell>
        </row>
        <row r="29">
          <cell r="E29" t="str">
            <v>MACH-550 De la Cite-Lower level</v>
          </cell>
          <cell r="F29" t="str">
            <v>Janitorial Services</v>
          </cell>
          <cell r="G29" t="str">
            <v>MACH-550 De la Cite-Lower level - Janitorial Services</v>
          </cell>
          <cell r="H29" t="str">
            <v>Quebec</v>
          </cell>
          <cell r="I29" t="str">
            <v>Regular</v>
          </cell>
          <cell r="J29" t="str">
            <v>ALLEN MAINTENANCE</v>
          </cell>
          <cell r="K29">
            <v>350</v>
          </cell>
          <cell r="L29">
            <v>5179</v>
          </cell>
          <cell r="M29" t="str">
            <v>AQ8855</v>
          </cell>
          <cell r="N29" t="str">
            <v>INVOICE-4840</v>
          </cell>
        </row>
        <row r="30">
          <cell r="E30" t="str">
            <v>MACH-1080 Beaver Hall- suite 1410- 1 fridge monthly 2 micro weekly  (1610)</v>
          </cell>
          <cell r="F30" t="str">
            <v>Janitorial Services</v>
          </cell>
          <cell r="G30" t="str">
            <v>MACH-1080 Beaver Hall- suite 1410- 1 fridge monthly 2 micro weekly  (1610) - Janitorial Services</v>
          </cell>
          <cell r="H30" t="str">
            <v>Quebec</v>
          </cell>
          <cell r="I30" t="str">
            <v>Regular</v>
          </cell>
          <cell r="J30" t="str">
            <v>CONTROLNET</v>
          </cell>
          <cell r="K30">
            <v>90</v>
          </cell>
          <cell r="L30">
            <v>5180</v>
          </cell>
          <cell r="M30">
            <v>7922</v>
          </cell>
          <cell r="N30" t="str">
            <v>INVOICE-4841</v>
          </cell>
        </row>
        <row r="31">
          <cell r="E31" t="str">
            <v>MACH-1080 Beaver Hall- Microonde suite 1720- last friday of month  (1610)</v>
          </cell>
          <cell r="F31" t="str">
            <v>Janitorial Services</v>
          </cell>
          <cell r="G31" t="str">
            <v>MACH-1080 Beaver Hall- Microonde suite 1720- last friday of month  (1610) - Janitorial Services</v>
          </cell>
          <cell r="H31" t="str">
            <v>Quebec</v>
          </cell>
          <cell r="I31" t="str">
            <v>Regular</v>
          </cell>
          <cell r="J31" t="str">
            <v>CONTROLNET</v>
          </cell>
          <cell r="K31">
            <v>20</v>
          </cell>
          <cell r="L31">
            <v>5181</v>
          </cell>
          <cell r="M31">
            <v>8350</v>
          </cell>
          <cell r="N31" t="str">
            <v>INVOICE-4842</v>
          </cell>
        </row>
        <row r="32">
          <cell r="E32" t="str">
            <v>MACH-1080 Beaver Hall - upgrade lave vaiselle suite 6th floor twice 2 weeks  (1610)</v>
          </cell>
          <cell r="F32" t="str">
            <v>Janitorial Services</v>
          </cell>
          <cell r="G32" t="str">
            <v>MACH-1080 Beaver Hall - upgrade lave vaiselle suite 6th floor twice 2 weeks  (1610) - Janitorial Services</v>
          </cell>
          <cell r="H32" t="str">
            <v>Quebec</v>
          </cell>
          <cell r="I32" t="str">
            <v>Regular</v>
          </cell>
          <cell r="J32" t="str">
            <v>CONTROLNET</v>
          </cell>
          <cell r="K32">
            <v>35</v>
          </cell>
          <cell r="L32">
            <v>5182</v>
          </cell>
          <cell r="M32">
            <v>8351</v>
          </cell>
          <cell r="N32" t="str">
            <v>INVOICE-4843</v>
          </cell>
        </row>
        <row r="33">
          <cell r="E33" t="str">
            <v>MACH-1080 Beaver Hall - suite 1512-Sweep and mop floors at data centre once per week  (1610)</v>
          </cell>
          <cell r="F33" t="str">
            <v>Janitorial Services</v>
          </cell>
          <cell r="G33" t="str">
            <v>MACH-1080 Beaver Hall - suite 1512-Sweep and mop floors at data centre once per week  (1610) - Janitorial Services</v>
          </cell>
          <cell r="H33" t="str">
            <v>Quebec</v>
          </cell>
          <cell r="I33" t="str">
            <v>Regular</v>
          </cell>
          <cell r="J33" t="str">
            <v>CONTROLNET</v>
          </cell>
          <cell r="K33">
            <v>105</v>
          </cell>
          <cell r="L33">
            <v>5183</v>
          </cell>
          <cell r="M33">
            <v>8044</v>
          </cell>
          <cell r="N33" t="str">
            <v>INVOICE-4844</v>
          </cell>
        </row>
        <row r="34">
          <cell r="E34" t="str">
            <v>MACH-2001 McGill-Extra service menager CIM (1601)</v>
          </cell>
          <cell r="F34" t="str">
            <v>Janitorial Services</v>
          </cell>
          <cell r="G34" t="str">
            <v>MACH-2001 McGill-Extra service menager CIM (1601) - Janitorial Services</v>
          </cell>
          <cell r="H34" t="str">
            <v>Quebec</v>
          </cell>
          <cell r="I34" t="str">
            <v>Regular</v>
          </cell>
          <cell r="J34" t="str">
            <v>CONTROLNET</v>
          </cell>
          <cell r="K34">
            <v>300</v>
          </cell>
          <cell r="L34">
            <v>5184</v>
          </cell>
          <cell r="M34">
            <v>8401</v>
          </cell>
          <cell r="N34" t="str">
            <v>INVOICE-4845</v>
          </cell>
        </row>
        <row r="35">
          <cell r="E35" t="str">
            <v>MACH-2001 McGill-Extra service menager Nothbolt (1601)</v>
          </cell>
          <cell r="F35" t="str">
            <v>Janitorial Services</v>
          </cell>
          <cell r="G35" t="str">
            <v>MACH-2001 McGill-Extra service menager Nothbolt (1601) - Janitorial Services</v>
          </cell>
          <cell r="H35" t="str">
            <v>Quebec</v>
          </cell>
          <cell r="I35" t="str">
            <v>Regular</v>
          </cell>
          <cell r="J35" t="str">
            <v>CONTROLNET</v>
          </cell>
          <cell r="K35">
            <v>235</v>
          </cell>
          <cell r="L35">
            <v>5185</v>
          </cell>
          <cell r="M35">
            <v>8402</v>
          </cell>
          <cell r="N35" t="str">
            <v>INVOICE-4846</v>
          </cell>
        </row>
        <row r="36">
          <cell r="E36" t="str">
            <v>MACH-2001 McGill-Extra service menager -SITA (1601)</v>
          </cell>
          <cell r="F36" t="str">
            <v>Janitorial Services</v>
          </cell>
          <cell r="G36" t="str">
            <v>MACH-2001 McGill-Extra service menager -SITA (1601) - Janitorial Services</v>
          </cell>
          <cell r="H36" t="str">
            <v>Quebec</v>
          </cell>
          <cell r="I36" t="str">
            <v>Regular</v>
          </cell>
          <cell r="J36" t="str">
            <v>CONTROLNET</v>
          </cell>
          <cell r="K36">
            <v>200</v>
          </cell>
          <cell r="L36">
            <v>5186</v>
          </cell>
          <cell r="M36">
            <v>8403</v>
          </cell>
          <cell r="N36" t="str">
            <v>INVOICE-4847</v>
          </cell>
        </row>
        <row r="37">
          <cell r="E37" t="str">
            <v>MACH-2001 McGill-Extra service menager -L&amp;A Chagnon (1601)</v>
          </cell>
          <cell r="F37" t="str">
            <v>Janitorial Services</v>
          </cell>
          <cell r="G37" t="str">
            <v>MACH-2001 McGill-Extra service menager -L&amp;A Chagnon (1601) - Janitorial Services</v>
          </cell>
          <cell r="H37" t="str">
            <v>Quebec</v>
          </cell>
          <cell r="I37" t="str">
            <v>Regular</v>
          </cell>
          <cell r="J37" t="str">
            <v>CONTROLNET</v>
          </cell>
          <cell r="K37">
            <v>270</v>
          </cell>
          <cell r="L37">
            <v>5187</v>
          </cell>
          <cell r="M37">
            <v>8404</v>
          </cell>
          <cell r="N37" t="str">
            <v>INVOICE-4848</v>
          </cell>
        </row>
        <row r="38">
          <cell r="E38" t="str">
            <v>MACH-2001 McGill-Extra service menager - Extra Clinic</v>
          </cell>
          <cell r="F38" t="str">
            <v>Janitorial Services</v>
          </cell>
          <cell r="G38" t="str">
            <v>MACH-2001 McGill-Extra service menager - Extra Clinic - Janitorial Services</v>
          </cell>
          <cell r="H38" t="str">
            <v>Quebec</v>
          </cell>
          <cell r="I38" t="str">
            <v>Regular</v>
          </cell>
          <cell r="J38" t="str">
            <v>CONTROLNET</v>
          </cell>
          <cell r="K38">
            <v>2870</v>
          </cell>
          <cell r="L38">
            <v>5188</v>
          </cell>
          <cell r="M38">
            <v>8405</v>
          </cell>
          <cell r="N38" t="str">
            <v>INVOICE-4849</v>
          </cell>
        </row>
        <row r="39">
          <cell r="E39" t="str">
            <v>Cavendish Mall Suite C14-B'nai Brith Canada (1264)</v>
          </cell>
          <cell r="F39" t="str">
            <v>Janitorial Services</v>
          </cell>
          <cell r="G39" t="str">
            <v>Cavendish Mall Suite C14-B'nai Brith Canada (1264) - Janitorial Services</v>
          </cell>
          <cell r="H39" t="str">
            <v>Quebec</v>
          </cell>
          <cell r="I39" t="str">
            <v>Regular</v>
          </cell>
          <cell r="J39" t="str">
            <v>CONTROLNET</v>
          </cell>
          <cell r="K39">
            <v>75</v>
          </cell>
          <cell r="L39">
            <v>5189</v>
          </cell>
          <cell r="M39">
            <v>8357</v>
          </cell>
          <cell r="N39" t="str">
            <v>INVOICE-4850</v>
          </cell>
        </row>
        <row r="40">
          <cell r="E40" t="str">
            <v>1165 Kenaston 1st fl common area includes washrooms- 1165 Kenaston Call Centre (4002)</v>
          </cell>
          <cell r="F40" t="str">
            <v>Janitorial Services</v>
          </cell>
          <cell r="G40" t="str">
            <v>1165 Kenaston 1st fl common area includes washrooms- 1165 Kenaston Call Centre (4002) - Janitorial Services</v>
          </cell>
          <cell r="H40" t="str">
            <v>Ontario</v>
          </cell>
          <cell r="I40" t="str">
            <v>Regular</v>
          </cell>
          <cell r="J40" t="str">
            <v>ALLEN MAINTENANCE</v>
          </cell>
          <cell r="K40">
            <v>7131.37</v>
          </cell>
          <cell r="L40">
            <v>5190</v>
          </cell>
          <cell r="M40" t="str">
            <v>2769-3666</v>
          </cell>
          <cell r="N40" t="str">
            <v>INVOICE-4851</v>
          </cell>
        </row>
        <row r="41">
          <cell r="E41" t="str">
            <v>1250 Ages training area (upstaris washroom) and office (4028)</v>
          </cell>
          <cell r="F41" t="str">
            <v>Janitorial Services</v>
          </cell>
          <cell r="G41" t="str">
            <v>1250 Ages training area (upstaris washroom) and office (4028) - Janitorial Services</v>
          </cell>
          <cell r="H41" t="str">
            <v>Ontario</v>
          </cell>
          <cell r="I41" t="str">
            <v>Regular</v>
          </cell>
          <cell r="J41" t="str">
            <v>ALLEN MAINTENANCE</v>
          </cell>
          <cell r="K41">
            <v>1011.8399999999999</v>
          </cell>
          <cell r="L41">
            <v>5191</v>
          </cell>
          <cell r="M41">
            <v>2772</v>
          </cell>
          <cell r="N41" t="str">
            <v>INVOICE-4852</v>
          </cell>
        </row>
        <row r="42">
          <cell r="E42" t="str">
            <v>1630 Startop (4004)</v>
          </cell>
          <cell r="F42" t="str">
            <v>Janitorial Services</v>
          </cell>
          <cell r="G42" t="str">
            <v>1630 Startop (4004) - Janitorial Services</v>
          </cell>
          <cell r="H42" t="str">
            <v>Ontario</v>
          </cell>
          <cell r="I42" t="str">
            <v>Regular</v>
          </cell>
          <cell r="J42" t="str">
            <v>ALLEN MAINTENANCE</v>
          </cell>
          <cell r="K42">
            <v>311.38</v>
          </cell>
          <cell r="L42">
            <v>5192</v>
          </cell>
          <cell r="M42">
            <v>2755</v>
          </cell>
          <cell r="N42" t="str">
            <v>INVOICE-4853</v>
          </cell>
        </row>
        <row r="43">
          <cell r="E43" t="str">
            <v>3955 Old richmond (4006)</v>
          </cell>
          <cell r="F43" t="str">
            <v>Janitorial Services</v>
          </cell>
          <cell r="G43" t="str">
            <v>3955 Old richmond (4006) - Janitorial Services</v>
          </cell>
          <cell r="H43" t="str">
            <v>Ontario</v>
          </cell>
          <cell r="I43" t="str">
            <v>Regular</v>
          </cell>
          <cell r="J43" t="str">
            <v>ALLEN MAINTENANCE</v>
          </cell>
          <cell r="K43">
            <v>921.04</v>
          </cell>
          <cell r="L43">
            <v>5193</v>
          </cell>
          <cell r="M43">
            <v>2768</v>
          </cell>
          <cell r="N43" t="str">
            <v>INVOICE-4854</v>
          </cell>
        </row>
        <row r="44">
          <cell r="E44" t="str">
            <v>160 George weekend service (2600)</v>
          </cell>
          <cell r="F44" t="str">
            <v>Janitorial Services</v>
          </cell>
          <cell r="G44" t="str">
            <v>160 George weekend service (2600) - Janitorial Services</v>
          </cell>
          <cell r="H44" t="str">
            <v>Ontario</v>
          </cell>
          <cell r="I44" t="str">
            <v>Regular</v>
          </cell>
          <cell r="J44" t="str">
            <v>ALLEN MAINTENANCE</v>
          </cell>
          <cell r="K44">
            <v>675</v>
          </cell>
          <cell r="L44">
            <v>5194</v>
          </cell>
          <cell r="M44">
            <v>2767</v>
          </cell>
          <cell r="N44" t="str">
            <v>INVOICE-4855</v>
          </cell>
        </row>
        <row r="45">
          <cell r="E45" t="str">
            <v>311 McArthur (4010)</v>
          </cell>
          <cell r="F45" t="str">
            <v>Janitorial Services</v>
          </cell>
          <cell r="G45" t="str">
            <v>311 McArthur (4010) - Janitorial Services</v>
          </cell>
          <cell r="H45" t="str">
            <v>Ontario</v>
          </cell>
          <cell r="I45" t="str">
            <v>Regular</v>
          </cell>
          <cell r="J45" t="str">
            <v>ALLEN MAINTENANCE</v>
          </cell>
          <cell r="K45">
            <v>5242.76</v>
          </cell>
          <cell r="L45">
            <v>5195</v>
          </cell>
          <cell r="M45">
            <v>2759</v>
          </cell>
          <cell r="N45" t="str">
            <v>INVOICE-4856</v>
          </cell>
        </row>
        <row r="46">
          <cell r="E46" t="str">
            <v>1081 Ambleside Drive (2200)</v>
          </cell>
          <cell r="F46" t="str">
            <v>Janitorial Services</v>
          </cell>
          <cell r="G46" t="str">
            <v>1081 Ambleside Drive (2200) - Janitorial Services</v>
          </cell>
          <cell r="H46" t="str">
            <v>Ontario</v>
          </cell>
          <cell r="I46" t="str">
            <v>Regular</v>
          </cell>
          <cell r="J46" t="str">
            <v>ALLEN MAINTENANCE</v>
          </cell>
          <cell r="K46">
            <v>8366.0400000000009</v>
          </cell>
          <cell r="L46">
            <v>5196</v>
          </cell>
          <cell r="M46">
            <v>2774</v>
          </cell>
          <cell r="N46" t="str">
            <v>INVOICE-4857</v>
          </cell>
        </row>
        <row r="47">
          <cell r="E47" t="str">
            <v>193 Metcalfe-Corridor (4942)</v>
          </cell>
          <cell r="F47" t="str">
            <v>Janitorial Services</v>
          </cell>
          <cell r="G47" t="str">
            <v>193 Metcalfe-Corridor (4942) - Janitorial Services</v>
          </cell>
          <cell r="H47" t="str">
            <v>Ontario</v>
          </cell>
          <cell r="I47" t="str">
            <v>Regular</v>
          </cell>
          <cell r="J47" t="str">
            <v>ALLEN MAINTENANCE</v>
          </cell>
          <cell r="K47">
            <v>250</v>
          </cell>
          <cell r="L47">
            <v>5197</v>
          </cell>
          <cell r="M47">
            <v>3445</v>
          </cell>
          <cell r="N47" t="str">
            <v>INVOICE-4858</v>
          </cell>
        </row>
        <row r="48">
          <cell r="E48" t="str">
            <v>454 Laurier E-Embassy of Egypt (4947)</v>
          </cell>
          <cell r="F48" t="str">
            <v>Janitorial Services</v>
          </cell>
          <cell r="G48" t="str">
            <v>454 Laurier E-Embassy of Egypt (4947) - Janitorial Services</v>
          </cell>
          <cell r="H48" t="str">
            <v>Ontario</v>
          </cell>
          <cell r="I48" t="str">
            <v>Regular</v>
          </cell>
          <cell r="J48" t="str">
            <v>ALLEN MAINTENANCE</v>
          </cell>
          <cell r="K48">
            <v>2288.56</v>
          </cell>
          <cell r="L48">
            <v>5198</v>
          </cell>
          <cell r="M48">
            <v>7899</v>
          </cell>
          <cell r="N48" t="str">
            <v>INVOICE-4859</v>
          </cell>
        </row>
        <row r="49">
          <cell r="E49" t="str">
            <v>JR Saints (4015)</v>
          </cell>
          <cell r="F49" t="str">
            <v>Janitorial Services</v>
          </cell>
          <cell r="G49" t="str">
            <v>JR Saints (4015) - Janitorial Services</v>
          </cell>
          <cell r="H49" t="str">
            <v>Ontario</v>
          </cell>
          <cell r="I49" t="str">
            <v>Regular</v>
          </cell>
          <cell r="J49" t="str">
            <v>ALLEN MAINTENANCE</v>
          </cell>
          <cell r="K49">
            <v>375</v>
          </cell>
          <cell r="L49">
            <v>5199</v>
          </cell>
          <cell r="M49">
            <v>2734</v>
          </cell>
          <cell r="N49" t="str">
            <v>INVOICE-4860</v>
          </cell>
        </row>
        <row r="50">
          <cell r="E50" t="str">
            <v>Minto - 1749-24-03 Janitorial Services – Carlisle Residential (221 Lyon)</v>
          </cell>
          <cell r="F50" t="str">
            <v>Janitorial Services</v>
          </cell>
          <cell r="G50" t="str">
            <v>Minto - 1749-24-03 Janitorial Services – Carlisle Residential (221 Lyon) - Janitorial Services</v>
          </cell>
          <cell r="H50" t="str">
            <v>Ontario</v>
          </cell>
          <cell r="I50" t="str">
            <v>Regular</v>
          </cell>
          <cell r="J50" t="str">
            <v>ALLEN MAINTENANCE</v>
          </cell>
          <cell r="K50">
            <v>5070.99</v>
          </cell>
          <cell r="L50">
            <v>5200</v>
          </cell>
          <cell r="M50">
            <v>4069</v>
          </cell>
          <cell r="N50" t="str">
            <v>INVOICE-4861</v>
          </cell>
        </row>
        <row r="51">
          <cell r="E51" t="str">
            <v>440 Laurier Commercial (4016)</v>
          </cell>
          <cell r="F51" t="str">
            <v>Janitorial Services</v>
          </cell>
          <cell r="G51" t="str">
            <v>440 Laurier Commercial (4016) - Janitorial Services</v>
          </cell>
          <cell r="H51" t="str">
            <v>Ontario</v>
          </cell>
          <cell r="I51" t="str">
            <v>Regular</v>
          </cell>
          <cell r="J51" t="str">
            <v>ALLEN MAINTENANCE</v>
          </cell>
          <cell r="K51">
            <v>2938.12</v>
          </cell>
          <cell r="L51">
            <v>5201</v>
          </cell>
          <cell r="M51">
            <v>2765</v>
          </cell>
          <cell r="N51" t="str">
            <v>INVOICE-4862</v>
          </cell>
        </row>
        <row r="52">
          <cell r="E52" t="str">
            <v>1341 Meadowlands-Parkwood Hills-Package 1-2-3-4-5-6 and SKYLINE 30 Eleanor and carpet program and ozone machine-239&amp;249 craig henry (5000) - Malp</v>
          </cell>
          <cell r="F52" t="str">
            <v>Janitorial Services</v>
          </cell>
          <cell r="G52" t="str">
            <v>1341 Meadowlands-Parkwood Hills-Package 1-2-3-4-5-6 and SKYLINE 30 Eleanor and carpet program and ozone machine-239&amp;249 craig henry (5000) - Malp - Janitorial Services</v>
          </cell>
          <cell r="H52" t="str">
            <v>Ontario</v>
          </cell>
          <cell r="I52" t="str">
            <v>Regular</v>
          </cell>
          <cell r="J52" t="str">
            <v>ALLEN MAINTENANCE</v>
          </cell>
          <cell r="K52">
            <v>33839.691284999994</v>
          </cell>
          <cell r="L52">
            <v>5202</v>
          </cell>
          <cell r="M52" t="str">
            <v>see breakdown below</v>
          </cell>
          <cell r="N52" t="str">
            <v>INVOICE-4863</v>
          </cell>
        </row>
        <row r="53">
          <cell r="E53" t="str">
            <v>1341 Meadowlands-Parkwood Hills-Package 1-2-3-4-5-6 and SKYLINE 30 Eleanor and carpet program and ozone machine-239&amp;249 craig henry (5000) - Multi res</v>
          </cell>
          <cell r="F53" t="str">
            <v>Janitorial Services</v>
          </cell>
          <cell r="G53" t="str">
            <v>1341 Meadowlands-Parkwood Hills-Package 1-2-3-4-5-6 and SKYLINE 30 Eleanor and carpet program and ozone machine-239&amp;249 craig henry (5000) - Multi res - Janitorial Services</v>
          </cell>
          <cell r="H53" t="str">
            <v>Ontario</v>
          </cell>
          <cell r="I53" t="str">
            <v>Regular</v>
          </cell>
          <cell r="J53" t="str">
            <v>ALLEN MAINTENANCE</v>
          </cell>
          <cell r="K53">
            <v>30076.052084999992</v>
          </cell>
          <cell r="L53">
            <v>5203</v>
          </cell>
          <cell r="M53" t="str">
            <v>see breakdown below</v>
          </cell>
          <cell r="N53" t="str">
            <v>INVOICE-4864</v>
          </cell>
        </row>
        <row r="54">
          <cell r="E54" t="str">
            <v>99 Fifth (Bank &amp; fifth) Residential (4018)</v>
          </cell>
          <cell r="F54" t="str">
            <v>Janitorial Services</v>
          </cell>
          <cell r="G54" t="str">
            <v>99 Fifth (Bank &amp; fifth) Residential (4018) - Janitorial Services</v>
          </cell>
          <cell r="H54" t="str">
            <v>Ontario</v>
          </cell>
          <cell r="I54" t="str">
            <v>Regular</v>
          </cell>
          <cell r="J54" t="str">
            <v>ALLEN MAINTENANCE</v>
          </cell>
          <cell r="K54">
            <v>4195.91</v>
          </cell>
          <cell r="L54">
            <v>5204</v>
          </cell>
          <cell r="M54">
            <v>2784</v>
          </cell>
          <cell r="N54" t="str">
            <v>INVOICE-4865</v>
          </cell>
        </row>
        <row r="55">
          <cell r="E55" t="str">
            <v>Minto - 1749-24-02 Janitorial Services - 99 Fifth – Fifth + Bank Commercial</v>
          </cell>
          <cell r="F55" t="str">
            <v>Janitorial Services</v>
          </cell>
          <cell r="G55" t="str">
            <v>Minto - 1749-24-02 Janitorial Services - 99 Fifth – Fifth + Bank Commercial - Janitorial Services</v>
          </cell>
          <cell r="H55" t="str">
            <v>Ontario</v>
          </cell>
          <cell r="I55" t="str">
            <v>Regular</v>
          </cell>
          <cell r="J55" t="str">
            <v>ALLEN MAINTENANCE</v>
          </cell>
          <cell r="K55">
            <v>2125.79</v>
          </cell>
          <cell r="L55">
            <v>5205</v>
          </cell>
          <cell r="M55">
            <v>4070</v>
          </cell>
          <cell r="N55" t="str">
            <v>INVOICE-4866</v>
          </cell>
        </row>
        <row r="56">
          <cell r="E56" t="str">
            <v>Media Plus (4023)</v>
          </cell>
          <cell r="F56" t="str">
            <v>Janitorial Services</v>
          </cell>
          <cell r="G56" t="str">
            <v>Media Plus (4023) - Janitorial Services</v>
          </cell>
          <cell r="H56" t="str">
            <v>Ontario</v>
          </cell>
          <cell r="I56" t="str">
            <v>Regular</v>
          </cell>
          <cell r="J56" t="str">
            <v>ALLEN MAINTENANCE</v>
          </cell>
          <cell r="K56">
            <v>370.41</v>
          </cell>
          <cell r="L56">
            <v>5206</v>
          </cell>
          <cell r="M56">
            <v>2736</v>
          </cell>
          <cell r="N56" t="str">
            <v>INVOICE-4867</v>
          </cell>
        </row>
        <row r="57">
          <cell r="E57" t="str">
            <v>1000 Castle Hill - 18 Deerfield - 20 Deerfield (4943)</v>
          </cell>
          <cell r="F57" t="str">
            <v>Janitorial Services</v>
          </cell>
          <cell r="G57" t="str">
            <v>1000 Castle Hill - 18 Deerfield - 20 Deerfield (4943) - Janitorial Services</v>
          </cell>
          <cell r="H57" t="str">
            <v>Ontario</v>
          </cell>
          <cell r="I57" t="str">
            <v>Regular</v>
          </cell>
          <cell r="J57" t="str">
            <v>ALLEN MAINTENANCE</v>
          </cell>
          <cell r="K57">
            <v>10387.99</v>
          </cell>
          <cell r="L57">
            <v>5207</v>
          </cell>
          <cell r="M57">
            <v>3443</v>
          </cell>
          <cell r="N57" t="str">
            <v>INVOICE-4868</v>
          </cell>
        </row>
        <row r="58">
          <cell r="E58" t="str">
            <v>302 Legget Drive-MDA and carpet program (4999)</v>
          </cell>
          <cell r="F58" t="str">
            <v>Janitorial Services</v>
          </cell>
          <cell r="G58" t="str">
            <v>302 Legget Drive-MDA and carpet program (4999) - Janitorial Services</v>
          </cell>
          <cell r="H58" t="str">
            <v>Ontario</v>
          </cell>
          <cell r="I58" t="str">
            <v>Regular</v>
          </cell>
          <cell r="J58" t="str">
            <v>ALLEN MAINTENANCE</v>
          </cell>
          <cell r="K58">
            <v>3666.87</v>
          </cell>
          <cell r="L58">
            <v>5208</v>
          </cell>
          <cell r="M58">
            <v>2782</v>
          </cell>
          <cell r="N58" t="str">
            <v>INVOICE-4869</v>
          </cell>
        </row>
        <row r="59">
          <cell r="E59" t="str">
            <v>1400 St Laurent (4931)</v>
          </cell>
          <cell r="F59" t="str">
            <v>Janitorial Services</v>
          </cell>
          <cell r="G59" t="str">
            <v>1400 St Laurent (4931) - Janitorial Services</v>
          </cell>
          <cell r="H59" t="str">
            <v>Ontario</v>
          </cell>
          <cell r="I59" t="str">
            <v>Regular</v>
          </cell>
          <cell r="J59" t="str">
            <v>ALLEN MAINTENANCE</v>
          </cell>
          <cell r="K59">
            <v>5997.7307000000001</v>
          </cell>
          <cell r="L59">
            <v>5209</v>
          </cell>
          <cell r="M59">
            <v>2859</v>
          </cell>
          <cell r="N59" t="str">
            <v>INVOICE-4870</v>
          </cell>
        </row>
        <row r="60">
          <cell r="E60" t="str">
            <v>MACH-1801 Hollis (4054)</v>
          </cell>
          <cell r="F60" t="str">
            <v>Janitorial Services</v>
          </cell>
          <cell r="G60" t="str">
            <v>MACH-1801 Hollis (4054) - Janitorial Services</v>
          </cell>
          <cell r="H60" t="str">
            <v>Ontario</v>
          </cell>
          <cell r="I60" t="str">
            <v>Regular</v>
          </cell>
          <cell r="J60" t="str">
            <v>ALLEN MAINTENANCE</v>
          </cell>
          <cell r="K60">
            <v>16478.116785975686</v>
          </cell>
          <cell r="L60">
            <v>5210</v>
          </cell>
          <cell r="M60">
            <v>7900</v>
          </cell>
          <cell r="N60" t="str">
            <v>INVOICE-4871</v>
          </cell>
        </row>
        <row r="61">
          <cell r="E61" t="str">
            <v>MACH-99 Wyse (4055)</v>
          </cell>
          <cell r="F61" t="str">
            <v>Janitorial Services</v>
          </cell>
          <cell r="G61" t="str">
            <v>MACH-99 Wyse (4055) - Janitorial Services</v>
          </cell>
          <cell r="H61" t="str">
            <v>Ontario</v>
          </cell>
          <cell r="I61" t="str">
            <v>Regular</v>
          </cell>
          <cell r="J61" t="str">
            <v>ALLEN MAINTENANCE</v>
          </cell>
          <cell r="K61">
            <v>14579.72683842832</v>
          </cell>
          <cell r="L61">
            <v>5211</v>
          </cell>
          <cell r="M61">
            <v>7902</v>
          </cell>
          <cell r="N61" t="str">
            <v>INVOICE-4872</v>
          </cell>
        </row>
        <row r="62">
          <cell r="E62" t="str">
            <v>OPA (4025)</v>
          </cell>
          <cell r="F62" t="str">
            <v>Janitorial Services</v>
          </cell>
          <cell r="G62" t="str">
            <v>OPA (4025) - Janitorial Services</v>
          </cell>
          <cell r="H62" t="str">
            <v>Ontario</v>
          </cell>
          <cell r="I62" t="str">
            <v>Regular</v>
          </cell>
          <cell r="J62" t="str">
            <v>ALLEN MAINTENANCE</v>
          </cell>
          <cell r="K62">
            <v>4105.51</v>
          </cell>
          <cell r="L62">
            <v>5212</v>
          </cell>
          <cell r="M62">
            <v>2735</v>
          </cell>
          <cell r="N62" t="str">
            <v>INVOICE-4873</v>
          </cell>
        </row>
        <row r="63">
          <cell r="E63" t="str">
            <v>366 Brant (4001)</v>
          </cell>
          <cell r="F63" t="str">
            <v>Janitorial Services</v>
          </cell>
          <cell r="G63" t="str">
            <v>366 Brant (4001) - Janitorial Services</v>
          </cell>
          <cell r="H63" t="str">
            <v>Ontario</v>
          </cell>
          <cell r="I63" t="str">
            <v>Regular</v>
          </cell>
          <cell r="J63" t="str">
            <v>ALLEN MAINTENANCE</v>
          </cell>
          <cell r="K63">
            <v>600</v>
          </cell>
          <cell r="L63">
            <v>5213</v>
          </cell>
          <cell r="M63">
            <v>3048</v>
          </cell>
          <cell r="N63" t="str">
            <v>INVOICE-4874</v>
          </cell>
        </row>
        <row r="64">
          <cell r="E64" t="str">
            <v>21 James - 420 Gilmour - 21 James Parking (4938-1)</v>
          </cell>
          <cell r="F64" t="str">
            <v>Janitorial Services</v>
          </cell>
          <cell r="G64" t="str">
            <v>21 James - 420 Gilmour - 21 James Parking (4938-1) - Janitorial Services</v>
          </cell>
          <cell r="H64" t="str">
            <v>Ontario</v>
          </cell>
          <cell r="I64" t="str">
            <v>Regular</v>
          </cell>
          <cell r="J64" t="str">
            <v>ALLEN MAINTENANCE</v>
          </cell>
          <cell r="K64">
            <v>4217</v>
          </cell>
          <cell r="L64">
            <v>5214</v>
          </cell>
          <cell r="M64">
            <v>3444</v>
          </cell>
          <cell r="N64" t="str">
            <v>INVOICE-4875</v>
          </cell>
        </row>
        <row r="65">
          <cell r="E65" t="str">
            <v>101 Boulevard Cardinal Leger</v>
          </cell>
          <cell r="F65" t="str">
            <v>Janitorial Services</v>
          </cell>
          <cell r="G65" t="str">
            <v>101 Boulevard Cardinal Leger - Janitorial Services</v>
          </cell>
          <cell r="H65" t="str">
            <v>Quebec</v>
          </cell>
          <cell r="I65" t="str">
            <v>Regular</v>
          </cell>
          <cell r="J65" t="str">
            <v>CONTROLNET</v>
          </cell>
          <cell r="K65">
            <v>12500</v>
          </cell>
          <cell r="L65">
            <v>5215</v>
          </cell>
          <cell r="M65">
            <v>8668</v>
          </cell>
          <cell r="N65" t="str">
            <v>INVOICE-4876</v>
          </cell>
        </row>
        <row r="66">
          <cell r="E66" t="str">
            <v>219 Argyle Av</v>
          </cell>
          <cell r="F66" t="str">
            <v>Janitorial Services</v>
          </cell>
          <cell r="G66" t="str">
            <v>219 Argyle Av - Janitorial Services</v>
          </cell>
          <cell r="H66" t="str">
            <v>Ontario</v>
          </cell>
          <cell r="I66" t="str">
            <v>Regular</v>
          </cell>
          <cell r="J66" t="str">
            <v>CCI Ottawa</v>
          </cell>
          <cell r="K66">
            <v>2998.08</v>
          </cell>
          <cell r="L66">
            <v>5216</v>
          </cell>
          <cell r="M66" t="str">
            <v>Khadija</v>
          </cell>
          <cell r="N66" t="str">
            <v>INVOICE-4877</v>
          </cell>
        </row>
        <row r="67">
          <cell r="E67" t="str">
            <v>Royalmount Shopping Centre -Janitorial Services MALL</v>
          </cell>
          <cell r="F67" t="str">
            <v>Janitorial Services</v>
          </cell>
          <cell r="G67" t="str">
            <v>Royalmount Shopping Centre -Janitorial Services MALL - Janitorial Services</v>
          </cell>
          <cell r="H67" t="str">
            <v>Quebec</v>
          </cell>
          <cell r="I67" t="str">
            <v>Regular</v>
          </cell>
          <cell r="J67" t="str">
            <v>CONTROLNET</v>
          </cell>
          <cell r="K67">
            <v>99000</v>
          </cell>
          <cell r="L67">
            <v>5217</v>
          </cell>
          <cell r="M67">
            <v>9215</v>
          </cell>
          <cell r="N67" t="str">
            <v>INVOICE-4878</v>
          </cell>
        </row>
        <row r="68">
          <cell r="E68" t="str">
            <v>Royalmount Mall - RENNAI STORE</v>
          </cell>
          <cell r="F68" t="str">
            <v>Janitorial Services</v>
          </cell>
          <cell r="G68" t="str">
            <v>Royalmount Mall - RENNAI STORE - Janitorial Services</v>
          </cell>
          <cell r="H68" t="str">
            <v>Quebec</v>
          </cell>
          <cell r="I68" t="str">
            <v>Regular</v>
          </cell>
          <cell r="J68" t="str">
            <v>CONTROLNET</v>
          </cell>
          <cell r="K68">
            <v>7000</v>
          </cell>
          <cell r="L68">
            <v>5218</v>
          </cell>
          <cell r="M68">
            <v>9421</v>
          </cell>
          <cell r="N68" t="str">
            <v>INVOICE-4879</v>
          </cell>
        </row>
        <row r="69">
          <cell r="E69" t="str">
            <v>Royalmount Mall - lavage des serviettes des vestiaires de la salle d'employé (2x semaine)</v>
          </cell>
          <cell r="F69" t="str">
            <v>Janitorial Services</v>
          </cell>
          <cell r="G69" t="str">
            <v>Royalmount Mall - lavage des serviettes des vestiaires de la salle d'employé (2x semaine) - Janitorial Services</v>
          </cell>
          <cell r="H69" t="str">
            <v>Quebec</v>
          </cell>
          <cell r="I69" t="str">
            <v>Regular</v>
          </cell>
          <cell r="J69" t="str">
            <v>CONTROLNET</v>
          </cell>
          <cell r="K69">
            <v>275</v>
          </cell>
          <cell r="L69">
            <v>5219</v>
          </cell>
          <cell r="M69">
            <v>9044</v>
          </cell>
          <cell r="N69" t="str">
            <v>INVOICE-4880</v>
          </cell>
        </row>
        <row r="70">
          <cell r="E70" t="str">
            <v>Royalmount Mall - Service de lavage des serviettes au 8500 Decarie</v>
          </cell>
          <cell r="F70" t="str">
            <v>Janitorial Services</v>
          </cell>
          <cell r="G70" t="str">
            <v>Royalmount Mall - Service de lavage des serviettes au 8500 Decarie - Janitorial Services</v>
          </cell>
          <cell r="H70" t="str">
            <v>Quebec</v>
          </cell>
          <cell r="I70" t="str">
            <v>Regular</v>
          </cell>
          <cell r="J70" t="str">
            <v>CONTROLNET</v>
          </cell>
          <cell r="K70">
            <v>300</v>
          </cell>
          <cell r="L70">
            <v>5220</v>
          </cell>
          <cell r="M70">
            <v>9133</v>
          </cell>
          <cell r="N70" t="str">
            <v>INVOICE-4881</v>
          </cell>
        </row>
        <row r="71">
          <cell r="E71" t="str">
            <v>Royalmount Mall - Service de lavage des serviettes au 8500 Decarie</v>
          </cell>
          <cell r="F71" t="str">
            <v>Janitorial Services</v>
          </cell>
          <cell r="G71" t="str">
            <v>Royalmount Mall - Service de lavage des serviettes au 8500 Decarie - Janitorial Services</v>
          </cell>
          <cell r="H71" t="str">
            <v>Quebec</v>
          </cell>
          <cell r="I71" t="str">
            <v>Regular</v>
          </cell>
          <cell r="J71" t="str">
            <v>CONTROLNET</v>
          </cell>
          <cell r="K71">
            <v>432</v>
          </cell>
          <cell r="L71">
            <v>5221</v>
          </cell>
          <cell r="M71">
            <v>9142</v>
          </cell>
          <cell r="N71" t="str">
            <v>INVOICE-4882</v>
          </cell>
        </row>
        <row r="72">
          <cell r="E72" t="str">
            <v>Janitorial Service Royalmount Mall - Delysee Café (1272)</v>
          </cell>
          <cell r="F72" t="str">
            <v>Janitorial Services</v>
          </cell>
          <cell r="G72" t="str">
            <v>Janitorial Service Royalmount Mall - Delysee Café (1272) - Janitorial Services</v>
          </cell>
          <cell r="H72" t="str">
            <v>Quebec</v>
          </cell>
          <cell r="I72" t="str">
            <v>Regular</v>
          </cell>
          <cell r="J72" t="str">
            <v>CONTROLNET</v>
          </cell>
          <cell r="K72">
            <v>918</v>
          </cell>
          <cell r="L72">
            <v>5222</v>
          </cell>
          <cell r="M72">
            <v>9546</v>
          </cell>
          <cell r="N72" t="str">
            <v>INVOICE-4883</v>
          </cell>
        </row>
        <row r="73">
          <cell r="E73" t="str">
            <v>CEP 15 Capella Court Unit 130 (CEPFLR15C)</v>
          </cell>
          <cell r="F73" t="str">
            <v>Janitorial Services</v>
          </cell>
          <cell r="G73" t="str">
            <v>CEP 15 Capella Court Unit 130 (CEPFLR15C) - Janitorial Services</v>
          </cell>
          <cell r="H73" t="str">
            <v>Ontario</v>
          </cell>
          <cell r="I73" t="str">
            <v>Regular</v>
          </cell>
          <cell r="J73" t="str">
            <v>CEP</v>
          </cell>
          <cell r="K73">
            <v>628.99</v>
          </cell>
          <cell r="L73">
            <v>5223</v>
          </cell>
          <cell r="M73" t="str">
            <v>XXX</v>
          </cell>
          <cell r="N73" t="str">
            <v>INVOICE-4884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Summary PAYMENTS"/>
      <sheetName val="Sheet1"/>
      <sheetName val="CORREOS"/>
      <sheetName val="List"/>
      <sheetName val="Suppliers name"/>
    </sheetNames>
    <sheetDataSet>
      <sheetData sheetId="0"/>
      <sheetData sheetId="1">
        <row r="3">
          <cell r="E3" t="str">
            <v>Office</v>
          </cell>
          <cell r="F3" t="str">
            <v>12433087 Canada Inc</v>
          </cell>
          <cell r="H3" t="str">
            <v>Regular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E4" t="str">
            <v>99 Fifth (Bank &amp; fifth) Residential (FLR99BF-R)</v>
          </cell>
          <cell r="F4" t="str">
            <v>13037622  Canada Inc</v>
          </cell>
          <cell r="H4" t="str">
            <v>Regular</v>
          </cell>
          <cell r="I4">
            <v>0</v>
          </cell>
          <cell r="J4">
            <v>636.01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E5" t="str">
            <v>99 Fifth (Bank &amp; fifth) Commercial (FLR99BF-C)</v>
          </cell>
          <cell r="F5" t="e">
            <v>#N/A</v>
          </cell>
          <cell r="H5" t="str">
            <v>Regular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E6" t="str">
            <v>1341 Meadowlands-Parkwood Hills-Package 2 (FLR1341M-P2)</v>
          </cell>
          <cell r="F6" t="str">
            <v>13037622  Canada Inc</v>
          </cell>
          <cell r="H6" t="str">
            <v>Regular</v>
          </cell>
          <cell r="I6">
            <v>4464.4199999999992</v>
          </cell>
          <cell r="J6">
            <v>293.7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E7" t="str">
            <v>193 Metcalfe-Corridor (FLR193M)</v>
          </cell>
          <cell r="F7" t="str">
            <v>13037622  Canada Inc</v>
          </cell>
          <cell r="H7" t="str">
            <v>Regular</v>
          </cell>
          <cell r="I7">
            <v>136.49999999999989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E8" t="str">
            <v>9 Auriga (FEVLR9A)</v>
          </cell>
          <cell r="F8" t="str">
            <v>13037622  Canada Inc</v>
          </cell>
          <cell r="H8" t="str">
            <v>Regular</v>
          </cell>
          <cell r="I8">
            <v>1673.3999999999999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E9" t="str">
            <v>2310 St Louis-Gatineau (FSKLR2310STL)</v>
          </cell>
          <cell r="F9" t="str">
            <v>13037622  Canada Inc</v>
          </cell>
          <cell r="H9" t="str">
            <v>Regular</v>
          </cell>
          <cell r="I9">
            <v>528.00000000000045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E10" t="str">
            <v>2310 St-Louis Exterior Litter pick up (FSKLR2310STL)</v>
          </cell>
          <cell r="F10" t="str">
            <v>13037622  Canada Inc</v>
          </cell>
          <cell r="H10" t="str">
            <v>Regular</v>
          </cell>
          <cell r="I10">
            <v>195.79999999999998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E11" t="str">
            <v>Jean Coutu #202- 181 Rue Principale Aylmer (FJCLR181P)</v>
          </cell>
          <cell r="F11" t="str">
            <v>13037622  Canada Inc</v>
          </cell>
          <cell r="H11" t="str">
            <v>Regular</v>
          </cell>
          <cell r="I11">
            <v>2046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E12" t="str">
            <v>Jean Coutu Plateau #317- 205 Boulevard Du Plateau (FJCLR205P)</v>
          </cell>
          <cell r="F12" t="e">
            <v>#N/A</v>
          </cell>
          <cell r="H12" t="str">
            <v>Regular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E13" t="str">
            <v>2355 St Laurent (FLR2355STL)</v>
          </cell>
          <cell r="F13" t="str">
            <v>12433087 Canada Inc</v>
          </cell>
          <cell r="H13" t="str">
            <v>Regular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E14" t="str">
            <v>1630 Startop (FLR1630ST)</v>
          </cell>
          <cell r="F14" t="e">
            <v>#N/A</v>
          </cell>
          <cell r="H14" t="str">
            <v>Regular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E15" t="str">
            <v>311 McArthur (FLR311MC)</v>
          </cell>
          <cell r="F15" t="str">
            <v>12433087 Canada Inc</v>
          </cell>
          <cell r="H15" t="str">
            <v>Regular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E16" t="str">
            <v>239-249 Craig Henry Minto (FLR239CH)</v>
          </cell>
          <cell r="F16" t="str">
            <v>12433087 Canada Inc</v>
          </cell>
          <cell r="H16" t="str">
            <v>Regular</v>
          </cell>
          <cell r="I16">
            <v>2172.7583333333337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E17" t="str">
            <v>440 Laurier  Carlise Commercial and 221 Lion Residential (FLR440L221L)</v>
          </cell>
          <cell r="F17" t="str">
            <v>9390-9216 Quebec Inc</v>
          </cell>
          <cell r="H17" t="str">
            <v>Regular</v>
          </cell>
          <cell r="I17">
            <v>4518.3666666666668</v>
          </cell>
          <cell r="J17">
            <v>515.9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E18" t="str">
            <v>366 Brant (FLR366B)</v>
          </cell>
          <cell r="F18" t="str">
            <v>12433087 Canada Inc</v>
          </cell>
          <cell r="H18" t="str">
            <v>Regular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E19" t="str">
            <v>21 James and 420 Gilmour and Parking (FLR21J420G21JP)</v>
          </cell>
          <cell r="F19" t="str">
            <v>12433087 Canada Inc</v>
          </cell>
          <cell r="H19" t="str">
            <v>Regular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E20" t="str">
            <v>160 George weekend service (FLR160G)</v>
          </cell>
          <cell r="F20" t="e">
            <v>#N/A</v>
          </cell>
          <cell r="H20" t="str">
            <v>Regular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E21" t="str">
            <v>CEP 15 Capella Court Unit 130 (CEPFLR15C)</v>
          </cell>
          <cell r="F21" t="str">
            <v>12433087 Canada Inc</v>
          </cell>
          <cell r="H21" t="str">
            <v>Regular</v>
          </cell>
          <cell r="I21">
            <v>280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E22" t="str">
            <v>1320 Carling (MAFLR1320C)</v>
          </cell>
          <cell r="F22" t="str">
            <v>10696480 Canada Ltd Reg Others</v>
          </cell>
          <cell r="H22" t="str">
            <v>Regular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680</v>
          </cell>
          <cell r="N22">
            <v>0</v>
          </cell>
        </row>
        <row r="23">
          <cell r="E23" t="str">
            <v>210 Champlain (SAFLR210CH)</v>
          </cell>
          <cell r="F23" t="str">
            <v>10696480 Canada Ltd Reg Others</v>
          </cell>
          <cell r="H23" t="str">
            <v>Regular</v>
          </cell>
          <cell r="I23">
            <v>0</v>
          </cell>
          <cell r="J23">
            <v>463.73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E24" t="str">
            <v>421-423 Richmond (HPFLR421R)</v>
          </cell>
          <cell r="F24" t="str">
            <v>10696480 Canada Ltd Reg Others</v>
          </cell>
          <cell r="H24" t="str">
            <v>Regular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510</v>
          </cell>
          <cell r="N24">
            <v>0</v>
          </cell>
        </row>
        <row r="25">
          <cell r="E25" t="str">
            <v>30 Eleanor-Skyline Maisonettes Package 5 and 6 (FLR30E-P5-P6)</v>
          </cell>
          <cell r="F25" t="str">
            <v>9390-9216 Quebec Inc</v>
          </cell>
          <cell r="H25" t="str">
            <v>Regular</v>
          </cell>
          <cell r="I25">
            <v>9058.5043333333324</v>
          </cell>
          <cell r="J25">
            <v>34.619999999999997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E26" t="str">
            <v>950 Beaumont reg (1370)</v>
          </cell>
          <cell r="F26" t="e">
            <v>#N/A</v>
          </cell>
          <cell r="H26" t="str">
            <v>Regular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E27" t="str">
            <v>555 Chabanel Reg aviva-admin-vdm (1809)</v>
          </cell>
          <cell r="F27" t="e">
            <v>#N/A</v>
          </cell>
          <cell r="H27" t="str">
            <v>Regular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E28" t="str">
            <v>950 Beaumont UDM  (1370)</v>
          </cell>
          <cell r="F28" t="e">
            <v>#N/A</v>
          </cell>
          <cell r="H28" t="str">
            <v>Regular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E29" t="str">
            <v>950 Beaumont UDM EX (1370)</v>
          </cell>
          <cell r="F29" t="e">
            <v>#N/A</v>
          </cell>
          <cell r="H29" t="str">
            <v>Regular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E30" t="str">
            <v>Cavendish Mall (1362)</v>
          </cell>
          <cell r="F30" t="str">
            <v>12433087 Canada Inc</v>
          </cell>
          <cell r="H30" t="str">
            <v>Regular</v>
          </cell>
          <cell r="I30">
            <v>4229.4250000000002</v>
          </cell>
          <cell r="J30">
            <v>640.93000000000006</v>
          </cell>
          <cell r="K30">
            <v>0</v>
          </cell>
          <cell r="L30">
            <v>0</v>
          </cell>
          <cell r="M30">
            <v>0</v>
          </cell>
          <cell r="N30">
            <v>2450</v>
          </cell>
        </row>
        <row r="31">
          <cell r="E31" t="str">
            <v>4725 Cousens (1380)</v>
          </cell>
          <cell r="F31" t="str">
            <v>12433087 Canada Inc</v>
          </cell>
          <cell r="H31" t="str">
            <v>Regular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E32" t="str">
            <v>7077-7101 Parc (1400)</v>
          </cell>
          <cell r="F32" t="str">
            <v>12433087 Canada Inc</v>
          </cell>
          <cell r="H32" t="str">
            <v>Regular</v>
          </cell>
          <cell r="I32">
            <v>9015</v>
          </cell>
          <cell r="J32">
            <v>2693.26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E33" t="str">
            <v>5907 Henri Bourassa-Annexair</v>
          </cell>
          <cell r="F33" t="str">
            <v>12433087 Canada Inc</v>
          </cell>
          <cell r="H33" t="str">
            <v>Regular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E34" t="str">
            <v>MACH-5100 Sherbrooke E (1600)</v>
          </cell>
          <cell r="F34" t="str">
            <v>12433087 Canada Inc</v>
          </cell>
          <cell r="H34" t="str">
            <v>Regular</v>
          </cell>
          <cell r="I34">
            <v>0</v>
          </cell>
          <cell r="J34">
            <v>5947.21</v>
          </cell>
          <cell r="K34">
            <v>0</v>
          </cell>
          <cell r="L34">
            <v>0</v>
          </cell>
          <cell r="M34">
            <v>0</v>
          </cell>
          <cell r="N34">
            <v>11440</v>
          </cell>
        </row>
        <row r="35">
          <cell r="E35" t="str">
            <v>MACH-1080 Beaver Hall (1610)</v>
          </cell>
          <cell r="F35" t="str">
            <v>12433087 Canada Inc</v>
          </cell>
          <cell r="H35" t="str">
            <v>Regular</v>
          </cell>
          <cell r="I35">
            <v>0</v>
          </cell>
          <cell r="J35">
            <v>1749.46</v>
          </cell>
          <cell r="K35">
            <v>0</v>
          </cell>
          <cell r="L35">
            <v>0</v>
          </cell>
          <cell r="M35">
            <v>0</v>
          </cell>
          <cell r="N35">
            <v>9966.5</v>
          </cell>
        </row>
        <row r="36">
          <cell r="E36" t="str">
            <v>MACH-2100 Maisonneuve (1625)</v>
          </cell>
          <cell r="F36" t="str">
            <v>12433087 Canada Inc</v>
          </cell>
          <cell r="H36" t="str">
            <v>Regular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1320</v>
          </cell>
        </row>
        <row r="37">
          <cell r="E37" t="str">
            <v>MACH-625 Rene Levesque (1634)</v>
          </cell>
          <cell r="F37" t="str">
            <v>12433087 Canada Inc</v>
          </cell>
          <cell r="H37" t="str">
            <v>Regular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6039.75</v>
          </cell>
        </row>
        <row r="38">
          <cell r="E38" t="str">
            <v>MACH-8 Place De Commerce (1636)</v>
          </cell>
          <cell r="F38" t="str">
            <v>12433087 Canada Inc</v>
          </cell>
          <cell r="H38" t="str">
            <v>Regular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E39" t="str">
            <v>MACH-1155 Robert Bourassa (1243)</v>
          </cell>
          <cell r="F39" t="str">
            <v>12433087 Canada Inc</v>
          </cell>
          <cell r="H39" t="str">
            <v>Regular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8279</v>
          </cell>
        </row>
        <row r="40">
          <cell r="E40" t="str">
            <v>MACH-825 St Laurent-Longueil (1648)</v>
          </cell>
          <cell r="F40" t="str">
            <v>12433087 Canada Inc</v>
          </cell>
          <cell r="H40" t="str">
            <v>Regular</v>
          </cell>
          <cell r="I40">
            <v>11998.23</v>
          </cell>
          <cell r="J40">
            <v>1390.34</v>
          </cell>
          <cell r="K40">
            <v>0</v>
          </cell>
          <cell r="L40">
            <v>0</v>
          </cell>
          <cell r="M40">
            <v>0</v>
          </cell>
          <cell r="N40">
            <v>8106.5</v>
          </cell>
        </row>
        <row r="41">
          <cell r="E41" t="str">
            <v>MACH-2001 McGill (1601)</v>
          </cell>
          <cell r="F41" t="str">
            <v>12433087 Canada Inc</v>
          </cell>
          <cell r="H41" t="str">
            <v>Regular</v>
          </cell>
          <cell r="I41">
            <v>0</v>
          </cell>
          <cell r="J41">
            <v>4670.95</v>
          </cell>
          <cell r="K41">
            <v>0</v>
          </cell>
          <cell r="L41">
            <v>0</v>
          </cell>
          <cell r="M41">
            <v>0</v>
          </cell>
          <cell r="N41">
            <v>33610.78</v>
          </cell>
        </row>
        <row r="42">
          <cell r="E42" t="str">
            <v>MACH-201-211 Laurier Ave East-(1604)</v>
          </cell>
          <cell r="F42" t="str">
            <v>12433087 Canada Inc</v>
          </cell>
          <cell r="H42" t="str">
            <v>Regular</v>
          </cell>
          <cell r="I42">
            <v>0</v>
          </cell>
          <cell r="J42">
            <v>736.51</v>
          </cell>
          <cell r="K42">
            <v>0</v>
          </cell>
          <cell r="L42">
            <v>0</v>
          </cell>
          <cell r="M42">
            <v>0</v>
          </cell>
          <cell r="N42">
            <v>4510</v>
          </cell>
        </row>
        <row r="43">
          <cell r="E43" t="str">
            <v>MACH-550 De la Cite-(4039)</v>
          </cell>
          <cell r="F43" t="str">
            <v>12433087 Canada Inc</v>
          </cell>
          <cell r="H43" t="str">
            <v>Regular</v>
          </cell>
          <cell r="I43">
            <v>85.999999999999986</v>
          </cell>
          <cell r="J43">
            <v>2013.4900000000002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E44" t="str">
            <v>MACH-1155 Robert Bourassa- Suite 11th floor- 2 days x week (1243)</v>
          </cell>
          <cell r="F44" t="e">
            <v>#N/A</v>
          </cell>
          <cell r="H44" t="str">
            <v>Regular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E45" t="str">
            <v>MACH-1080 Beaver Hall- suite 1100 2 micro weekly (1610)</v>
          </cell>
          <cell r="F45" t="e">
            <v>#N/A</v>
          </cell>
          <cell r="H45" t="str">
            <v>Regular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E46" t="str">
            <v>MACH-1080 Beaver Hall- suite 1410- 1 fridge monthly 2 micro weekly  (1610)</v>
          </cell>
          <cell r="F46" t="e">
            <v>#N/A</v>
          </cell>
          <cell r="H46" t="str">
            <v>Regular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E47" t="str">
            <v>MACH-1080 Beaver Hall- Microonde suite 1720- last friday of month  (1610)</v>
          </cell>
          <cell r="F47" t="e">
            <v>#N/A</v>
          </cell>
          <cell r="H47" t="str">
            <v>Regular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E48" t="str">
            <v>MACH-1080 Beaver Hall - upgrade lave vaiselle suite 6th floor twice 2 weeks  (1610)</v>
          </cell>
          <cell r="F48" t="e">
            <v>#N/A</v>
          </cell>
          <cell r="H48" t="str">
            <v>Regular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E49" t="str">
            <v>MACH-1080 Beaver Hall - suite 1512-Sweep and mop floors at data centre once per week  (1610)</v>
          </cell>
          <cell r="F49" t="e">
            <v>#N/A</v>
          </cell>
          <cell r="H49" t="str">
            <v>Regular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E50" t="str">
            <v>MACH-2001 McGill-Extra service menager CIM (1601)</v>
          </cell>
          <cell r="F50" t="e">
            <v>#N/A</v>
          </cell>
          <cell r="H50" t="str">
            <v>Regular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E51" t="str">
            <v>MACH-2001 McGill-Extra service menager Nothbolt (1601)</v>
          </cell>
          <cell r="F51" t="e">
            <v>#N/A</v>
          </cell>
          <cell r="H51" t="str">
            <v>Regular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E52" t="str">
            <v>MACH-2001 McGill-Extra service menager - Extra Clinic</v>
          </cell>
          <cell r="F52" t="e">
            <v>#N/A</v>
          </cell>
          <cell r="H52" t="str">
            <v>Regular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E53" t="str">
            <v>MACH-2001 McGill-Extra service menager -SITA (1601)</v>
          </cell>
          <cell r="F53" t="e">
            <v>#N/A</v>
          </cell>
          <cell r="H53" t="str">
            <v>Regular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E54" t="str">
            <v>MACH-2001 McGill-Extra service menager -L&amp;A Chagnon (1601)</v>
          </cell>
          <cell r="F54" t="e">
            <v>#N/A</v>
          </cell>
          <cell r="H54" t="str">
            <v>Regular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E55" t="str">
            <v>MACH-2001 McGill-Extra service menager - Extra Clinic</v>
          </cell>
          <cell r="F55" t="e">
            <v>#N/A</v>
          </cell>
          <cell r="H55" t="str">
            <v>Regular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E56" t="str">
            <v>950 Beaumont - Parking Garage (1370)</v>
          </cell>
          <cell r="F56" t="e">
            <v>#N/A</v>
          </cell>
          <cell r="H56" t="str">
            <v>Regular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E57" t="str">
            <v>Cavendish Mall Suite C14-B'nai Brith Canada (1264)</v>
          </cell>
          <cell r="F57" t="e">
            <v>#N/A</v>
          </cell>
          <cell r="H57" t="str">
            <v>Regular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E58" t="str">
            <v>1165 Kenaston 1st fl common area includes washrooms- 1165 Kenaston Call Centre (4002)</v>
          </cell>
          <cell r="F58" t="str">
            <v>12433087 Canada Inc</v>
          </cell>
          <cell r="H58" t="str">
            <v>Regular</v>
          </cell>
          <cell r="I58">
            <v>0</v>
          </cell>
          <cell r="J58">
            <v>443.22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E59" t="str">
            <v>1165 Kenaston Access Storage-once per week (4056)</v>
          </cell>
          <cell r="F59" t="e">
            <v>#N/A</v>
          </cell>
          <cell r="H59" t="str">
            <v>Regular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E60" t="str">
            <v>1630 Startop (4004)</v>
          </cell>
          <cell r="F60" t="str">
            <v>12433087 Canada Inc</v>
          </cell>
          <cell r="H60" t="str">
            <v>Regular</v>
          </cell>
          <cell r="I60">
            <v>140.00000000000006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E61" t="str">
            <v>2355 St Laurent-Abi (4005)</v>
          </cell>
          <cell r="F61" t="e">
            <v>#N/A</v>
          </cell>
          <cell r="H61" t="str">
            <v>Regular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E62" t="str">
            <v>3995 Old richmond (4006)</v>
          </cell>
          <cell r="F62" t="e">
            <v>#N/A</v>
          </cell>
          <cell r="H62" t="str">
            <v>Regular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E63" t="str">
            <v>160 George weekend service (2600)</v>
          </cell>
          <cell r="F63" t="str">
            <v>12433087 Canada Inc</v>
          </cell>
          <cell r="H63" t="str">
            <v>Regular</v>
          </cell>
          <cell r="I63">
            <v>648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E64" t="str">
            <v>311 McArthur (4010)</v>
          </cell>
          <cell r="F64" t="str">
            <v>12433087 Canada Inc</v>
          </cell>
          <cell r="H64" t="str">
            <v>Regular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3901.6</v>
          </cell>
          <cell r="N64">
            <v>0</v>
          </cell>
        </row>
        <row r="65">
          <cell r="E65" t="str">
            <v>1081 Ambleside Drive (2200)</v>
          </cell>
          <cell r="F65" t="str">
            <v>12433087 Canada Inc</v>
          </cell>
          <cell r="H65" t="str">
            <v>Regular</v>
          </cell>
          <cell r="I65">
            <v>6162.3200000000015</v>
          </cell>
          <cell r="J65">
            <v>168.76499999999999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E66" t="str">
            <v>193 Metcalfe-Corridor (4942)</v>
          </cell>
          <cell r="F66" t="str">
            <v>12433087 Canada Inc</v>
          </cell>
          <cell r="H66" t="str">
            <v>Regular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E67" t="str">
            <v>700 Sussex (4940)</v>
          </cell>
          <cell r="F67" t="str">
            <v>12433087 Canada Inc</v>
          </cell>
          <cell r="H67" t="str">
            <v>Regular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E68" t="str">
            <v>454 Laurier E-Embassy of Egypt (4947)</v>
          </cell>
          <cell r="F68" t="str">
            <v>12433087 Canada Inc</v>
          </cell>
          <cell r="H68" t="str">
            <v>Regular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E69" t="str">
            <v>JR Saints (4015)</v>
          </cell>
          <cell r="F69" t="str">
            <v>12433087 Canada Inc</v>
          </cell>
          <cell r="H69" t="str">
            <v>Regular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E70" t="str">
            <v>1228 Old Innes Park (4935)</v>
          </cell>
          <cell r="F70" t="e">
            <v>#N/A</v>
          </cell>
          <cell r="H70" t="str">
            <v>Regular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E71" t="str">
            <v>221 Lyon Resiendtial and 440 Laurier Commercial (4016)</v>
          </cell>
          <cell r="F71" t="str">
            <v>12433087 Canada Inc</v>
          </cell>
          <cell r="H71" t="str">
            <v>Regular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E72" t="str">
            <v>1341 Meadowlands-Parkwood Hills-Package 1-2-3-4-5-6 and SKYLINE 30 Eleanor and carpet program and ozone machine-239&amp;249 craig henry (5000)</v>
          </cell>
          <cell r="F72" t="str">
            <v>12433087 Canada Inc</v>
          </cell>
          <cell r="H72" t="str">
            <v>Regular</v>
          </cell>
          <cell r="I72">
            <v>8468.3708333333325</v>
          </cell>
          <cell r="J72">
            <v>135.57999999999998</v>
          </cell>
          <cell r="K72">
            <v>0</v>
          </cell>
          <cell r="L72">
            <v>0</v>
          </cell>
          <cell r="M72">
            <v>21961.279999999999</v>
          </cell>
          <cell r="N72">
            <v>0</v>
          </cell>
        </row>
        <row r="73">
          <cell r="E73" t="str">
            <v>99 Fifth (Bank &amp; fifth) Residential and Commercial (4018)</v>
          </cell>
          <cell r="F73" t="str">
            <v>12433087 Canada Inc</v>
          </cell>
          <cell r="H73" t="str">
            <v>Regular</v>
          </cell>
          <cell r="I73">
            <v>3987.6833333333329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E74" t="str">
            <v>Media Plus (4023)</v>
          </cell>
          <cell r="F74" t="str">
            <v>12433087 Canada Inc</v>
          </cell>
          <cell r="H74" t="str">
            <v>Regular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E75" t="str">
            <v>1000 Castle Hill - 18 Deerfield - 20 Deerfield (4943)</v>
          </cell>
          <cell r="F75" t="str">
            <v>12433087 Canada Inc</v>
          </cell>
          <cell r="H75" t="str">
            <v>Regular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E76" t="str">
            <v>302 Legget Drive-MDA and carpet program (4999)</v>
          </cell>
          <cell r="F76" t="str">
            <v>12433087 Canada Inc</v>
          </cell>
          <cell r="H76" t="str">
            <v>Regular</v>
          </cell>
          <cell r="I76">
            <v>2223.3333333333335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E77" t="str">
            <v>1400 St Laurent (4931)</v>
          </cell>
          <cell r="F77" t="str">
            <v>12433087 Canada Inc</v>
          </cell>
          <cell r="H77" t="str">
            <v>Regular</v>
          </cell>
          <cell r="I77">
            <v>483.20577777777771</v>
          </cell>
          <cell r="J77">
            <v>208.73</v>
          </cell>
          <cell r="K77">
            <v>0</v>
          </cell>
          <cell r="L77">
            <v>0</v>
          </cell>
          <cell r="M77">
            <v>0</v>
          </cell>
          <cell r="N77">
            <v>1316.95</v>
          </cell>
        </row>
        <row r="78">
          <cell r="E78" t="str">
            <v>MACH-800 Palladium (4043)</v>
          </cell>
          <cell r="F78" t="e">
            <v>#N/A</v>
          </cell>
          <cell r="H78" t="str">
            <v>Regular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E79" t="str">
            <v>MACH-1801 Hollis (4054)</v>
          </cell>
          <cell r="F79" t="str">
            <v>12433087 Canada Inc</v>
          </cell>
          <cell r="H79" t="str">
            <v>Regular</v>
          </cell>
          <cell r="I79">
            <v>9341.75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3536.65</v>
          </cell>
        </row>
        <row r="80">
          <cell r="E80" t="str">
            <v>MACH-99 Wyse (4055)</v>
          </cell>
          <cell r="F80" t="str">
            <v>12433087 Canada Inc</v>
          </cell>
          <cell r="H80" t="str">
            <v>Regular</v>
          </cell>
          <cell r="I80">
            <v>8791.625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723.19</v>
          </cell>
        </row>
        <row r="81">
          <cell r="E81" t="str">
            <v>OPA (4025)</v>
          </cell>
          <cell r="F81" t="str">
            <v>12433087 Canada Inc</v>
          </cell>
          <cell r="H81" t="str">
            <v>Regular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E82" t="str">
            <v>366 Brant (4001)</v>
          </cell>
          <cell r="F82" t="str">
            <v>12433087 Canada Inc</v>
          </cell>
          <cell r="H82" t="str">
            <v>Regular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570</v>
          </cell>
          <cell r="N82">
            <v>0</v>
          </cell>
        </row>
        <row r="83">
          <cell r="E83" t="str">
            <v>234 Rideau (4027)</v>
          </cell>
          <cell r="F83" t="str">
            <v>12433087 Canada Inc</v>
          </cell>
          <cell r="H83" t="str">
            <v>Regular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E84" t="str">
            <v>1354 Carling Avenue and 820 Archibald (4938)</v>
          </cell>
          <cell r="F84" t="e">
            <v>#N/A</v>
          </cell>
          <cell r="H84" t="str">
            <v>Regular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E85" t="str">
            <v>1354 Carling Avenue and 820 Archibald (4938)</v>
          </cell>
          <cell r="F85" t="e">
            <v>#N/A</v>
          </cell>
          <cell r="H85" t="str">
            <v>Regular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E86" t="str">
            <v>1250 Ages training area (upstaris washroom) and office (4028)</v>
          </cell>
          <cell r="F86" t="e">
            <v>#N/A</v>
          </cell>
          <cell r="H86" t="str">
            <v>Regular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E87" t="str">
            <v>FMZ:*TDA0555_910 Watters Road, ORLEANS - JANITORIAL SERVICE - FEB25 TO DEC25*910 WATTERS ROAD, ORLEANS</v>
          </cell>
          <cell r="F87" t="e">
            <v>#N/A</v>
          </cell>
          <cell r="H87" t="str">
            <v>Regular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E88" t="str">
            <v>FMZ:*TDA0242_4422 Innes Road, ORLEANS - JANITORIAL SERVICE - FEB25 TO DEC25*4422 INNES ROAD, ORLEANS</v>
          </cell>
          <cell r="F88" t="e">
            <v>#N/A</v>
          </cell>
          <cell r="H88" t="str">
            <v>Regular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E89" t="str">
            <v>FMZ:*TDA0620_2012 Mer Bleue Road, OTTAWA - JANITORIAL SERVICE - FEB25 TO DEC25*2012 MER BLEUE ROAD, OTTAWA</v>
          </cell>
          <cell r="F89" t="e">
            <v>#N/A</v>
          </cell>
          <cell r="H89" t="str">
            <v>Regular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E90" t="str">
            <v>FMZ:*TDA0611_2608 Innes Road, GLOUCESTER - JANITORIAL SERVICE - FEB25 TO DEC25*2608 INNES ROAD, GLOUCESTER</v>
          </cell>
          <cell r="F90" t="e">
            <v>#N/A</v>
          </cell>
          <cell r="H90" t="str">
            <v>Regular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E91" t="str">
            <v>FMZ:*TDA0621 - 50 RIDEAU STREET - JANITORIAL SERVICE - FEB25 TO DEC25*3761 DES SOURCES BLVD*50 RIDEAU STREET ON</v>
          </cell>
          <cell r="F91" t="e">
            <v>#N/A</v>
          </cell>
          <cell r="H91" t="str">
            <v>Regular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E92" t="str">
            <v>FMZ:*TDA0622_1236 WELLINGTON STREET, OTTAWA - JANITORIAL SERVICE - FEB25 TO DEC25*1236 WELLINGTON STREET, OTTAWA</v>
          </cell>
          <cell r="F92" t="str">
            <v>9359-6633 Quebec Inc</v>
          </cell>
          <cell r="H92" t="str">
            <v>Regular</v>
          </cell>
          <cell r="I92">
            <v>523.18933333333371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75</v>
          </cell>
        </row>
        <row r="93">
          <cell r="E93" t="str">
            <v>FMZ:*TDA1241_1106 KLONDIKE UNIT A, KANATA - JANITORIAL SERVICE - FEB25 TO DEC25*1106 KLONDIKE UNIT A, KANATA</v>
          </cell>
          <cell r="F93" t="str">
            <v>9359-6633 Quebec Inc</v>
          </cell>
          <cell r="H93" t="str">
            <v>Regular</v>
          </cell>
          <cell r="I93">
            <v>505.9954444444453</v>
          </cell>
          <cell r="J93">
            <v>123.49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E94" t="str">
            <v>FMZ:*TDA0616_457 HAZELDEAN ROAD #28, KANATA - JANITORIAL SERVICE - FEB25 TO DEC25*457 HAZELDEAN ROAD #28, KANATA</v>
          </cell>
          <cell r="F94" t="str">
            <v>9359-6633 Quebec Inc</v>
          </cell>
          <cell r="H94" t="str">
            <v>Regular</v>
          </cell>
          <cell r="I94">
            <v>841.16844444444507</v>
          </cell>
          <cell r="J94">
            <v>123.49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E95" t="str">
            <v>FMZ:*TDA0602_2940 BANK STREET, OTTAWA - JANITORIAL SERVICE - FEB25 TO DEC25*2940 BANK STREET, OTTAWA</v>
          </cell>
          <cell r="F95" t="e">
            <v>#N/A</v>
          </cell>
          <cell r="H95" t="str">
            <v>Regular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E96" t="str">
            <v>FMZ:*TDA0550 - 3671 STRANDHERD DRIVE - JANITORIAL SERVICE - FEB25 TO DEC25*3761 DES SOURCES BLVD*3671 STRANDHERD DRIVE, OTTAWA</v>
          </cell>
          <cell r="F96" t="str">
            <v>9359-6633 Quebec Inc</v>
          </cell>
          <cell r="H96" t="str">
            <v>Regular</v>
          </cell>
          <cell r="I96">
            <v>573.92144444444523</v>
          </cell>
          <cell r="J96">
            <v>182.3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E97" t="str">
            <v>FMZ:*TDA1568_2150 ROBERTSON ROAD, NEPEAN - JANITORIAL SERVICE - FEB25 TO DEC25*2150 ROBERTSON ROAD, NEPEAN</v>
          </cell>
          <cell r="F97" t="str">
            <v>9359-6633 Quebec Inc</v>
          </cell>
          <cell r="H97" t="str">
            <v>Regular</v>
          </cell>
          <cell r="I97">
            <v>471.92104166666655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E98" t="str">
            <v>FMZ:*TDA0290_1648 MONTREAL ROAD, OTTAWA - JANITORIAL SERVICE - FEB25 TO DEC25*1648 MONTREAL ROAD, OTTAWA</v>
          </cell>
          <cell r="F98" t="e">
            <v>#N/A</v>
          </cell>
          <cell r="H98" t="str">
            <v>Regular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E99" t="str">
            <v>FMZ:*TDA0609_1270 MAIN STREET, STITTSVILLE - JANITORIAL SERVICE - FEB25 TO DEC25*1270 MAIN STREET, STITTSVILLE</v>
          </cell>
          <cell r="F99" t="str">
            <v>9359-6633 Quebec Inc</v>
          </cell>
          <cell r="H99" t="str">
            <v>Regular</v>
          </cell>
          <cell r="I99">
            <v>429.08868055555558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E100" t="str">
            <v>FMZ:*TDA0617_562 Montreal Road, OTTAWA - JANITORIAL SERVICE - FEB25 TO DEC25*562 MONTREAL ROAD, OTTAWA</v>
          </cell>
          <cell r="F100" t="e">
            <v>#N/A</v>
          </cell>
          <cell r="H100" t="str">
            <v>Regular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E101" t="str">
            <v>FMZ:*TDA0605_100 - 700 EAGLESON ROAD, KANATA - JANITORIAL SERVICE - FEB25 TO DEC25*100 - 700 EAGLESON ROAD, KANAT</v>
          </cell>
          <cell r="F101" t="str">
            <v>9359-6633 Quebec Inc</v>
          </cell>
          <cell r="H101" t="str">
            <v>Regular</v>
          </cell>
          <cell r="I101">
            <v>479.0088888888896</v>
          </cell>
          <cell r="J101">
            <v>123.49</v>
          </cell>
          <cell r="K101">
            <v>0</v>
          </cell>
          <cell r="L101">
            <v>0</v>
          </cell>
          <cell r="M101">
            <v>0</v>
          </cell>
          <cell r="N101">
            <v>75</v>
          </cell>
        </row>
        <row r="102">
          <cell r="E102" t="str">
            <v>180 KENT STREET UNIT 100</v>
          </cell>
          <cell r="F102" t="e">
            <v>#N/A</v>
          </cell>
          <cell r="H102" t="str">
            <v>Regular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E103" t="str">
            <v>FMZ:*TDA1432_955 Bank St. ON - JANITORIAL SERVICE - FEB25 TO DEC25*955 BANK ST</v>
          </cell>
          <cell r="F103" t="e">
            <v>#N/A</v>
          </cell>
          <cell r="H103" t="str">
            <v>Regular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E104" t="str">
            <v>FMZ:*TDA0130_5 PRETORIA AVENUE, OTTAWA - JANITORIAL SERVICE - FEB25 TO DEC25*5 PRETORIA AVENUE, OTTAWA</v>
          </cell>
          <cell r="F104" t="e">
            <v>#N/A</v>
          </cell>
          <cell r="H104" t="str">
            <v>Regular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E105" t="str">
            <v>FMZ:*TDA0603_5219 MITCH OWENS ROAD, OTTAWA - JANITORIAL SERVICE - FEB25 TO DEC25*5219 MITCH OWENS ROAD, OTTAWA</v>
          </cell>
          <cell r="F105" t="str">
            <v>9359-6633 Quebec Inc</v>
          </cell>
          <cell r="H105" t="str">
            <v>Regular</v>
          </cell>
          <cell r="I105">
            <v>375.42283333333381</v>
          </cell>
          <cell r="J105">
            <v>243.66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E106" t="str">
            <v>FMZ:*TDA0540_1062 PRINCESS STREET, KINGSTON - JANITORIAL SERVICE - FEB25 TO DEC25*1062 PRINCESS STREET, KINGSTON</v>
          </cell>
          <cell r="F106" t="str">
            <v>9359-6633 Quebec Inc</v>
          </cell>
          <cell r="H106" t="str">
            <v>Regular</v>
          </cell>
          <cell r="I106">
            <v>589.50311111111171</v>
          </cell>
          <cell r="J106">
            <v>49.62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E107" t="str">
            <v>FMZ:*TDB0144_27 Princess St, ON - JANITORIAL SERVICE - FEB25 TO DEC25*27 PRINCESS STREET, KINGSTON</v>
          </cell>
          <cell r="F107" t="str">
            <v>9359-6633 Quebec Inc</v>
          </cell>
          <cell r="H107" t="str">
            <v>Regular</v>
          </cell>
          <cell r="I107">
            <v>1178.3516666666669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E108" t="str">
            <v>FMZ:*TDA0097_750 GARDINERS ROAD, KINGSTON - JANITORIAL SERVICE - FEB25 TO DEC25*750 GARDINERS ROAD, KINGSTON</v>
          </cell>
          <cell r="F108" t="str">
            <v>9359-6633 Quebec Inc</v>
          </cell>
          <cell r="H108" t="str">
            <v>Regular</v>
          </cell>
          <cell r="I108">
            <v>457.46444444444529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E109" t="str">
            <v>FMZ:*TDA1403_774 STRAND BLVD, KINGSTON - JANITORIAL SERVICE - FEB25 TO DEC25*774 STRAND BLVD, KINGSTON</v>
          </cell>
          <cell r="F109" t="str">
            <v>9359-6633 Quebec Inc</v>
          </cell>
          <cell r="H109" t="str">
            <v>Regular</v>
          </cell>
          <cell r="I109">
            <v>393.76444444444485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E110" t="str">
            <v>FMZ:*TDA0618_1200 St Laurent Boulevard, OTTAWA - JANITORIAL SERVICE - FEB25 TO DEC25*1200 ST LAURENT BOULEVARD, OTT</v>
          </cell>
          <cell r="F110" t="e">
            <v>#N/A</v>
          </cell>
          <cell r="H110" t="str">
            <v>Regular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E111" t="str">
            <v>FMZ:*TDA1860_1295 Carling Ave ON - JANITORIAL SERVICE - FEB25 TO DEC25*1295 CARLING AVE</v>
          </cell>
          <cell r="F111" t="str">
            <v>9359-6633 Quebec Inc</v>
          </cell>
          <cell r="H111" t="str">
            <v>Regular</v>
          </cell>
          <cell r="I111">
            <v>350.12266666666659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E112" t="str">
            <v>FMZ:*TDA1290_217 Gore Road ON - JANITORIAL SERVICE - FEB25 TO DEC25*217 GORE ROAD</v>
          </cell>
          <cell r="F112" t="str">
            <v>9359-6633 Quebec Inc</v>
          </cell>
          <cell r="H112" t="str">
            <v>Regular</v>
          </cell>
          <cell r="I112">
            <v>257.61777777777803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E113" t="str">
            <v>FMZ:*CM0A141_117 Bath Rd, Kingston, ON - JANITORIAL SERVICE - FEB25 TO DEC25*117 BATH ROAD, KINGSTON</v>
          </cell>
          <cell r="F113" t="str">
            <v>9359-6633 Quebec Inc</v>
          </cell>
          <cell r="H113" t="str">
            <v>Regular</v>
          </cell>
          <cell r="I113">
            <v>420.11000000000047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E114" t="str">
            <v>FMZ:*RB00776_2269 RIVERSIDE DRIVE, OTTAWA - JANITORIAL SERVICE - FEB25 TO DEC25*2269 RIVERSIDE DRIVE, OTTAWA</v>
          </cell>
          <cell r="F114" t="e">
            <v>#N/A</v>
          </cell>
          <cell r="H114" t="str">
            <v>Regular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E115" t="str">
            <v>FMZ:*PR00230_ 3600 F.X.Tessier, VAUDREUIL - JANITORIAL SERVICE - FEB25 TO DEC25*3600 F.X.TESSIER, VAUDREUIL</v>
          </cell>
          <cell r="F115" t="str">
            <v>9359-6633 Quebec Inc</v>
          </cell>
          <cell r="H115" t="str">
            <v>Regular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315.81</v>
          </cell>
        </row>
        <row r="116">
          <cell r="E116" t="str">
            <v>9201 RUE DE L INNOVATION  - ANJOU</v>
          </cell>
          <cell r="F116" t="e">
            <v>#N/A</v>
          </cell>
          <cell r="H116" t="str">
            <v>Regular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E117" t="str">
            <v>370 ROLAND - GODARD BLVD SAINT-JEROME</v>
          </cell>
          <cell r="F117" t="e">
            <v>#N/A</v>
          </cell>
          <cell r="H117" t="str">
            <v>Regular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E118" t="str">
            <v>12005 RAYMONDE DE LA ROCHE MIRABEL</v>
          </cell>
          <cell r="F118" t="e">
            <v>#N/A</v>
          </cell>
          <cell r="H118" t="str">
            <v>Regular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E119" t="str">
            <v>2005 DAGENAIS BLVD. W LAVAL</v>
          </cell>
          <cell r="F119" t="e">
            <v>#N/A</v>
          </cell>
          <cell r="H119" t="str">
            <v>Regular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E120" t="str">
            <v>FMZ:*BMO1454_99 BOULEVARD DE L'HOPITAL, GATINEAU - JANITORIAL SERVICE - FEB25 TO DEC25*99 BOULEVARD DE L'HOPITAL, GAT</v>
          </cell>
          <cell r="F120" t="str">
            <v>9359-6633 Quebec Inc</v>
          </cell>
          <cell r="H120" t="str">
            <v>Regular</v>
          </cell>
          <cell r="I120">
            <v>660.00000000000034</v>
          </cell>
          <cell r="J120">
            <v>222.61</v>
          </cell>
          <cell r="K120">
            <v>0</v>
          </cell>
          <cell r="L120">
            <v>0</v>
          </cell>
          <cell r="M120">
            <v>0</v>
          </cell>
          <cell r="N120">
            <v>75</v>
          </cell>
        </row>
        <row r="121">
          <cell r="E121" t="str">
            <v>FMZ:*BM01741_3190 Boul Saint Charles QC - JANITORIAL SERVICE - FEB25 TO DEC25*3190 BOUL SAINT CHARLES</v>
          </cell>
          <cell r="F121" t="str">
            <v>9359-6633 Quebec Inc</v>
          </cell>
          <cell r="H121" t="str">
            <v>Regular</v>
          </cell>
          <cell r="I121">
            <v>0</v>
          </cell>
          <cell r="J121">
            <v>51.916666666666664</v>
          </cell>
          <cell r="K121">
            <v>0</v>
          </cell>
          <cell r="L121">
            <v>0</v>
          </cell>
          <cell r="M121">
            <v>0</v>
          </cell>
          <cell r="N121">
            <v>533.5</v>
          </cell>
        </row>
        <row r="122">
          <cell r="E122" t="str">
            <v>FMZ:*BM01253_6702 Transcanadienne QC - JANITORIAL SERVICE - FEB25 TO DEC25*6702 TRANSCANADIENNE</v>
          </cell>
          <cell r="F122" t="str">
            <v>9359-6633 Quebec Inc</v>
          </cell>
          <cell r="H122" t="str">
            <v>Regular</v>
          </cell>
          <cell r="I122">
            <v>0</v>
          </cell>
          <cell r="J122">
            <v>51.916666666666664</v>
          </cell>
          <cell r="K122">
            <v>0</v>
          </cell>
          <cell r="L122">
            <v>0</v>
          </cell>
          <cell r="M122">
            <v>0</v>
          </cell>
          <cell r="N122">
            <v>620.97</v>
          </cell>
        </row>
        <row r="123">
          <cell r="E123" t="str">
            <v>FMZ:*BM01233_6500 trans-canada HWY QC - JANITORIAL SERVICE - FEB25 TO DEC25*6500 TRANS-CANADA HWY</v>
          </cell>
          <cell r="F123" t="str">
            <v>9359-6633 Quebec Inc</v>
          </cell>
          <cell r="H123" t="str">
            <v>Regular</v>
          </cell>
          <cell r="I123">
            <v>0</v>
          </cell>
          <cell r="J123">
            <v>51.916666666666664</v>
          </cell>
          <cell r="K123">
            <v>0</v>
          </cell>
          <cell r="L123">
            <v>0</v>
          </cell>
          <cell r="M123">
            <v>0</v>
          </cell>
          <cell r="N123">
            <v>534.54999999999995</v>
          </cell>
        </row>
        <row r="124">
          <cell r="E124" t="str">
            <v>FMZ:*BM01148_580 Av. Saint-Charles QC - JANITORIAL SERVICE - FEB25 TO DEC25*580 AV. SAINT-CHARLES</v>
          </cell>
          <cell r="F124" t="str">
            <v>9359-6633 Quebec Inc</v>
          </cell>
          <cell r="H124" t="str">
            <v>Regular</v>
          </cell>
          <cell r="I124">
            <v>0</v>
          </cell>
          <cell r="J124">
            <v>51.916666666666664</v>
          </cell>
          <cell r="K124">
            <v>0</v>
          </cell>
          <cell r="L124">
            <v>0</v>
          </cell>
          <cell r="M124">
            <v>0</v>
          </cell>
          <cell r="N124">
            <v>523.38</v>
          </cell>
        </row>
        <row r="125">
          <cell r="E125" t="str">
            <v>FMZ:*BM00871_3761 Des Sources BLVD QC - JANITORIAL SERVICE - FEB25 TO DEC25*3761 DES SOURCES BLVD</v>
          </cell>
          <cell r="F125" t="str">
            <v>9359-6633 Quebec Inc</v>
          </cell>
          <cell r="H125" t="str">
            <v>Regular</v>
          </cell>
          <cell r="I125">
            <v>0</v>
          </cell>
          <cell r="J125">
            <v>51.916666666666664</v>
          </cell>
          <cell r="K125">
            <v>0</v>
          </cell>
          <cell r="L125">
            <v>0</v>
          </cell>
          <cell r="M125">
            <v>0</v>
          </cell>
          <cell r="N125">
            <v>546.04</v>
          </cell>
        </row>
        <row r="126">
          <cell r="E126" t="str">
            <v>FMZ:*B03249_173 Chemin Old Chelsea, QC - JANITORIAL SERVICE - FEB25 TO DEC25*173 CHEMIN OLD CHELSEA, CHELSE</v>
          </cell>
          <cell r="F126" t="e">
            <v>#N/A</v>
          </cell>
          <cell r="H126" t="str">
            <v>Regular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E127" t="str">
            <v>FMZ:*B03294_1679 RUE ROUTHIER, GATINEAU - JANITORIAL SERVICE - FEB25 TO DEC25*1679 RUE ROUTHIER, GATINEAU</v>
          </cell>
          <cell r="F127" t="str">
            <v>9359-6633 Quebec Inc</v>
          </cell>
          <cell r="H127" t="str">
            <v>Regular</v>
          </cell>
          <cell r="I127">
            <v>480.00000000000011</v>
          </cell>
          <cell r="J127">
            <v>222.61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E128" t="str">
            <v>FMZ:*B09146_15 TASCHEREAU, GATINEAU - JANITORIAL SERVICE - FEB25 TO DEC25*15 TASCHEREAU, GATINEAU</v>
          </cell>
          <cell r="F128" t="e">
            <v>#N/A</v>
          </cell>
          <cell r="H128" t="str">
            <v>Regular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E129" t="str">
            <v>FMZ:*B01269_60 Rue St-Patrick, QC - JANITORIAL SERVICE - FEB25 TO DEC25*60 RUE ST-PATRICK, L'ISLE-AUX-</v>
          </cell>
          <cell r="F129" t="e">
            <v>#N/A</v>
          </cell>
          <cell r="H129" t="str">
            <v>Regular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E130" t="str">
            <v>69 RUE PRINCIPALE</v>
          </cell>
          <cell r="F130" t="e">
            <v>#N/A</v>
          </cell>
          <cell r="H130" t="str">
            <v>Regular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E131" t="str">
            <v>1327 ROUTE 148</v>
          </cell>
          <cell r="F131" t="e">
            <v>#N/A</v>
          </cell>
          <cell r="H131" t="str">
            <v>Regular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E132" t="str">
            <v>91 RUE MANGIN </v>
          </cell>
          <cell r="F132" t="e">
            <v>#N/A</v>
          </cell>
          <cell r="H132" t="str">
            <v>Regular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E133" t="str">
            <v>2 RUE BELL</v>
          </cell>
          <cell r="F133" t="e">
            <v>#N/A</v>
          </cell>
          <cell r="H133" t="str">
            <v>Regular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E134" t="str">
            <v>106 RUE ST-JOSEPH</v>
          </cell>
          <cell r="F134" t="e">
            <v>#N/A</v>
          </cell>
          <cell r="H134" t="str">
            <v>Regular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E135" t="str">
            <v>1113 ROUTE 117</v>
          </cell>
          <cell r="F135" t="e">
            <v>#N/A</v>
          </cell>
          <cell r="H135" t="str">
            <v>Regular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E136" t="str">
            <v>407 ROUTE 105</v>
          </cell>
          <cell r="F136" t="e">
            <v>#N/A</v>
          </cell>
          <cell r="H136" t="str">
            <v>Regular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E137" t="str">
            <v>8 CHEMIN PRINCIPAL</v>
          </cell>
          <cell r="F137" t="e">
            <v>#N/A</v>
          </cell>
          <cell r="H137" t="str">
            <v>Regular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E138" t="str">
            <v>941 CHEMIN DAMASSE PERRIER</v>
          </cell>
          <cell r="F138" t="e">
            <v>#N/A</v>
          </cell>
          <cell r="H138" t="str">
            <v>Regular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E139" t="str">
            <v>345 RUE DES OBLATS</v>
          </cell>
          <cell r="F139" t="e">
            <v>#N/A</v>
          </cell>
          <cell r="H139" t="str">
            <v>Regular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E140" t="str">
            <v>225 RUE HERAULT</v>
          </cell>
          <cell r="F140" t="e">
            <v>#N/A</v>
          </cell>
          <cell r="H140" t="str">
            <v>Regular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E141" t="str">
            <v>201 RUE ST-HENRI </v>
          </cell>
          <cell r="F141" t="e">
            <v>#N/A</v>
          </cell>
          <cell r="H141" t="str">
            <v>Regular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E142" t="str">
            <v>99 RUE NOTRE-DAME</v>
          </cell>
          <cell r="F142" t="e">
            <v>#N/A</v>
          </cell>
          <cell r="H142" t="str">
            <v>Regular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E143" t="str">
            <v>282 RUE VIGER</v>
          </cell>
          <cell r="F143" t="e">
            <v>#N/A</v>
          </cell>
          <cell r="H143" t="str">
            <v>Regular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E144" t="str">
            <v>1028 RUE CLARENDON</v>
          </cell>
          <cell r="F144" t="e">
            <v>#N/A</v>
          </cell>
          <cell r="H144" t="str">
            <v>Regular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E145" t="str">
            <v>150 AVENUE VICTORIA  </v>
          </cell>
          <cell r="F145" t="e">
            <v>#N/A</v>
          </cell>
          <cell r="H145" t="str">
            <v>Regular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E146" t="str">
            <v>124 RUE PRINCIPALE</v>
          </cell>
          <cell r="F146" t="e">
            <v>#N/A</v>
          </cell>
          <cell r="H146" t="str">
            <v>Regular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E147" t="str">
            <v>82 RUE PORTELANCE</v>
          </cell>
          <cell r="F147" t="e">
            <v>#N/A</v>
          </cell>
          <cell r="H147" t="str">
            <v>Regular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E148" t="str">
            <v>1486 ROUTE PRINCIPALE</v>
          </cell>
          <cell r="F148" t="e">
            <v>#N/A</v>
          </cell>
          <cell r="H148" t="str">
            <v>Regular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E149" t="str">
            <v>23 RUE DU MANOIR</v>
          </cell>
          <cell r="F149" t="e">
            <v>#N/A</v>
          </cell>
          <cell r="H149" t="str">
            <v>Regular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E150" t="str">
            <v>FMZ:*B03248_126 RUE CHURCH, GATINEAU - JANITORIAL SERVICE - FEB25 TO DEC25*126 RUE CHURCH, GATINEAU</v>
          </cell>
          <cell r="F150" t="e">
            <v>#N/A</v>
          </cell>
          <cell r="H150" t="str">
            <v>Regular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E151" t="str">
            <v>FMZ:*B03260_10 RUE DAMIEN, GATINEAU - JANITORIAL SERVICE - FEB25 TO DEC25*10 RUE DAMIEN, GATINEAU</v>
          </cell>
          <cell r="F151" t="e">
            <v>#N/A</v>
          </cell>
          <cell r="H151" t="str">
            <v>Regular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E152" t="str">
            <v>FMZ:*B03297_100 BOUL. DU PLATEAU, GATINEAU - JANITORIAL SERVICE - FEB25 TO DEC25*100 BOUL. DU PLATEAU, GATINEAU</v>
          </cell>
          <cell r="F152" t="e">
            <v>#N/A</v>
          </cell>
          <cell r="H152" t="str">
            <v>Regular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E153" t="str">
            <v>FMZ:*B03299_14 RUE PLACE-DE-TEMPLETON, GATINEAU - JANITORIAL SERVICE - FEB25 TO DEC25*14 RUE PLACE-DE-TEMPLETON, GAT</v>
          </cell>
          <cell r="F153" t="e">
            <v>#N/A</v>
          </cell>
          <cell r="H153" t="str">
            <v>Regular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E154" t="str">
            <v>FMZ:*B03275_320 BOUL DES ALLUMETTIERES, GATINEAU - JANITORIAL SERVICE - FEB25 TO DEC25*320 BOUL DES ALLUMETTIERES, GA</v>
          </cell>
          <cell r="F154" t="str">
            <v>9359-6633 Quebec Inc</v>
          </cell>
          <cell r="H154" t="str">
            <v>Regular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E155" t="str">
            <v>FMZ:*B03300_36 RUE DU BASSIN, GATINEAU - JANITORIAL SERVICE - FEB25 TO DEC25*36 RUE DU BASSIN, GATINEAU</v>
          </cell>
          <cell r="F155" t="e">
            <v>#N/A</v>
          </cell>
          <cell r="H155" t="str">
            <v>Regular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E156" t="str">
            <v>FMZ:*B03276_362 BOUL. GREBER, GATINEAU - JANITORIAL SERVICE - FEB25 TO DEC25*362 BOUL. GREBER, GATINEAU</v>
          </cell>
          <cell r="F156" t="e">
            <v>#N/A</v>
          </cell>
          <cell r="H156" t="str">
            <v>Regular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E157" t="str">
            <v>FMZ:*B03277_436 BOUL. ST-RENE EST, GATINEAU - JANITORIAL SERVICE - FEB25 TO DEC25*436 BOUL. ST-RENE EST, GATINEA</v>
          </cell>
          <cell r="F157" t="e">
            <v>#N/A</v>
          </cell>
          <cell r="H157" t="str">
            <v>Regular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E158" t="str">
            <v>FMZ:*B03298_489 BOUL. ALEXANDRE-TACHE, GATINEAU - JANITORIAL SERVICE - FEB25 TO DEC25*489 BOUL. ALEXANDRE-TACHE, GAT</v>
          </cell>
          <cell r="F158" t="e">
            <v>#N/A</v>
          </cell>
          <cell r="H158" t="str">
            <v>Regular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E159" t="str">
            <v>FMZ:*B03274_52 RUE BANCROFT, GATINEAU - JANITORIAL SERVICE - FEB25 TO DEC25*52 RUE BANCROFT, GATINEAU</v>
          </cell>
          <cell r="F159" t="e">
            <v>#N/A</v>
          </cell>
          <cell r="H159" t="str">
            <v>Regular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E160" t="str">
            <v>37 ROUTE PRINCIPALE O.</v>
          </cell>
          <cell r="F160" t="e">
            <v>#N/A</v>
          </cell>
          <cell r="H160" t="str">
            <v>Regular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E161" t="str">
            <v>44 DE LA VALLEE-DE-WAKEFIELD</v>
          </cell>
          <cell r="F161" t="e">
            <v>#N/A</v>
          </cell>
          <cell r="H161" t="str">
            <v>Regular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</row>
        <row r="162">
          <cell r="E162" t="str">
            <v>1785 Woodward Av. (WINTER MATS ARNON)</v>
          </cell>
          <cell r="F162" t="e">
            <v>#N/A</v>
          </cell>
          <cell r="H162" t="str">
            <v xml:space="preserve">One Shot 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E163" t="str">
            <v>1355 Bank Garage - OS</v>
          </cell>
          <cell r="F163" t="str">
            <v>12433087 Canada Inc</v>
          </cell>
          <cell r="H163" t="str">
            <v xml:space="preserve">One Shot 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2362.5</v>
          </cell>
        </row>
        <row r="164">
          <cell r="E164" t="str">
            <v>447 March Rd-Nordion- OS</v>
          </cell>
          <cell r="F164" t="e">
            <v>#N/A</v>
          </cell>
          <cell r="H164" t="str">
            <v xml:space="preserve">One Shot 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E165" t="str">
            <v>400 Cooper (MACH)- OS</v>
          </cell>
          <cell r="F165" t="e">
            <v>#N/A</v>
          </cell>
          <cell r="H165" t="str">
            <v xml:space="preserve">One Shot 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E166" t="str">
            <v>1870 Altavista (MACH)- OS</v>
          </cell>
          <cell r="F166" t="e">
            <v>#N/A</v>
          </cell>
          <cell r="H166" t="str">
            <v xml:space="preserve">One Shot 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E167" t="str">
            <v>1145 Hunt Club (MACH)- OS</v>
          </cell>
          <cell r="F167" t="e">
            <v>#N/A</v>
          </cell>
          <cell r="H167" t="str">
            <v xml:space="preserve">One Shot 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E168" t="str">
            <v>770 Palladium (MACH)- OS</v>
          </cell>
          <cell r="F168" t="e">
            <v>#N/A</v>
          </cell>
          <cell r="H168" t="str">
            <v xml:space="preserve">One Shot 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E169" t="str">
            <v>800 Palladium (MACH)-OS</v>
          </cell>
          <cell r="F169" t="str">
            <v>12433087 Canada Inc</v>
          </cell>
          <cell r="H169" t="str">
            <v xml:space="preserve">One Shot 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E170" t="str">
            <v>25 Fitzgerald (MACH)- OS</v>
          </cell>
          <cell r="F170" t="e">
            <v>#N/A</v>
          </cell>
          <cell r="H170" t="str">
            <v xml:space="preserve">One Shot 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E171" t="str">
            <v>161 Rue Principale-Montessori School- OS</v>
          </cell>
          <cell r="F171" t="str">
            <v>10696480 Canada Ltd Reg Others</v>
          </cell>
          <cell r="H171" t="str">
            <v xml:space="preserve">One Shot </v>
          </cell>
          <cell r="I171">
            <v>1812.8000000000002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E172" t="str">
            <v>1400 Merivale Rd</v>
          </cell>
          <cell r="F172" t="e">
            <v>#N/A</v>
          </cell>
          <cell r="H172" t="str">
            <v xml:space="preserve">One Shot 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E173" t="str">
            <v>750 GARDINERS ROAD - OS</v>
          </cell>
          <cell r="F173" t="str">
            <v>9359-6633 Quebec Inc</v>
          </cell>
          <cell r="H173" t="str">
            <v xml:space="preserve">One Shot </v>
          </cell>
          <cell r="I173">
            <v>50.000000000000021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E174" t="str">
            <v>99 BOULEVARD DEL HOPITAL - OS</v>
          </cell>
          <cell r="F174" t="e">
            <v>#N/A</v>
          </cell>
          <cell r="H174" t="str">
            <v xml:space="preserve">One Shot 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E175" t="str">
            <v>562 MONTREAL ROAD - OS</v>
          </cell>
          <cell r="F175" t="e">
            <v>#N/A</v>
          </cell>
          <cell r="H175" t="str">
            <v xml:space="preserve">One Shot 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E176" t="str">
            <v>1200 ST LAURENT BOULEVARD - OS</v>
          </cell>
          <cell r="F176" t="e">
            <v>#N/A</v>
          </cell>
          <cell r="H176" t="str">
            <v xml:space="preserve">One Shot 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E177" t="str">
            <v>436 BOUL. ST-RENE EST - OS</v>
          </cell>
          <cell r="F177" t="e">
            <v>#N/A</v>
          </cell>
          <cell r="H177" t="str">
            <v xml:space="preserve">One Shot 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</row>
        <row r="178">
          <cell r="E178" t="str">
            <v>2 RUE BELL - OS</v>
          </cell>
          <cell r="F178" t="e">
            <v>#N/A</v>
          </cell>
          <cell r="H178" t="str">
            <v xml:space="preserve">One Shot 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E179" t="str">
            <v>1585 MERIVALE - OS</v>
          </cell>
          <cell r="F179" t="e">
            <v>#N/A</v>
          </cell>
          <cell r="H179" t="str">
            <v xml:space="preserve">One Shot 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E180" t="str">
            <v>325 COLONNADE DRIVE - OS</v>
          </cell>
          <cell r="F180" t="e">
            <v>#N/A</v>
          </cell>
          <cell r="H180" t="str">
            <v xml:space="preserve">One Shot 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E181" t="str">
            <v>2269 RIVERSIDE DRIVE, UNIT #1</v>
          </cell>
          <cell r="F181" t="e">
            <v>#N/A</v>
          </cell>
          <cell r="H181" t="str">
            <v>Regular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E182" t="str">
            <v>101 Sacre-Coeur - OS</v>
          </cell>
          <cell r="F182" t="str">
            <v>13037622  Canada Inc</v>
          </cell>
          <cell r="H182" t="str">
            <v xml:space="preserve">One Shot </v>
          </cell>
          <cell r="I182">
            <v>1521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</row>
        <row r="183">
          <cell r="E183" t="str">
            <v>FMZ:*B06798_3212 richmond Rd ON - JANITORIAL SERVICE - FEB25 TO DEC25*3212 RICHMOND RD</v>
          </cell>
          <cell r="F183" t="e">
            <v>#N/A</v>
          </cell>
          <cell r="H183" t="str">
            <v>Regular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E184" t="str">
            <v>FMZ:*B06781 -3130 ANALDEA DR - JANITORIAL SERVICE - FEB25 TO DEC25*3761 DES SOURCES BLVD*3130 ANALDEA DR ON</v>
          </cell>
          <cell r="F184" t="str">
            <v>9359-6633 Quebec Inc</v>
          </cell>
          <cell r="H184" t="str">
            <v>Regular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E185" t="str">
            <v>3771 STRANDHERD DRIV</v>
          </cell>
          <cell r="F185" t="e">
            <v>#N/A</v>
          </cell>
          <cell r="H185" t="str">
            <v>Regular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E186" t="str">
            <v>FMZ:*B06796 - 190 IONA ST - JANITORIAL SERVICE - FEB25 TO DEC25*3761 DES SOURCES BLVD*190 IONA ST ON</v>
          </cell>
          <cell r="F186" t="e">
            <v>#N/A</v>
          </cell>
          <cell r="H186" t="str">
            <v>Regular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</row>
        <row r="187">
          <cell r="E187" t="str">
            <v>1671 MERIVALE</v>
          </cell>
          <cell r="F187" t="e">
            <v>#N/A</v>
          </cell>
          <cell r="H187" t="str">
            <v>Regular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</row>
        <row r="188">
          <cell r="E188" t="str">
            <v>FMZ:*B06800 - 5854 Hazeldean Sideroad - JANITORIAL SERVICE - FEB25 TO DEC25*3761 DES SOURCES BLVD*5854 HAZELDEAN SIDEROAD ON</v>
          </cell>
          <cell r="F188" t="e">
            <v>#N/A</v>
          </cell>
          <cell r="H188" t="str">
            <v>Regular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E189" t="str">
            <v>320 Boulevard Saint-Joseph (Galeries)- OS</v>
          </cell>
          <cell r="F189" t="e">
            <v>#N/A</v>
          </cell>
          <cell r="H189" t="str">
            <v xml:space="preserve">One Shot 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0">
          <cell r="E190" t="str">
            <v>5801 Parc Av</v>
          </cell>
          <cell r="F190" t="str">
            <v>9359-6633 Quebec Inc</v>
          </cell>
          <cell r="H190" t="str">
            <v xml:space="preserve">One Shot 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3080</v>
          </cell>
        </row>
        <row r="191">
          <cell r="E191" t="str">
            <v>1528 Entrepot Langelier</v>
          </cell>
          <cell r="F191" t="str">
            <v>9359-6633 Quebec Inc</v>
          </cell>
          <cell r="H191" t="str">
            <v xml:space="preserve">One Shot 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400</v>
          </cell>
        </row>
        <row r="192">
          <cell r="E192" t="str">
            <v>415 Legget Dr- OS</v>
          </cell>
          <cell r="F192" t="e">
            <v>#N/A</v>
          </cell>
          <cell r="H192" t="str">
            <v xml:space="preserve">One Shot 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</row>
        <row r="193">
          <cell r="E193" t="str">
            <v>203 Chemin Aylmer</v>
          </cell>
          <cell r="F193" t="e">
            <v>#N/A</v>
          </cell>
          <cell r="H193" t="str">
            <v xml:space="preserve">One Shot 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</row>
        <row r="194">
          <cell r="E194" t="str">
            <v>170 Laurier W  Winter Mats- OS</v>
          </cell>
          <cell r="F194" t="e">
            <v>#N/A</v>
          </cell>
          <cell r="H194" t="str">
            <v xml:space="preserve">One Shot 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E195" t="str">
            <v>955 BANK STREET - OS</v>
          </cell>
          <cell r="F195" t="e">
            <v>#N/A</v>
          </cell>
          <cell r="H195" t="str">
            <v xml:space="preserve">One Shot 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E196" t="str">
            <v>457 HAZELDEAN ROAD #28 - OS</v>
          </cell>
          <cell r="F196" t="e">
            <v>#N/A</v>
          </cell>
          <cell r="H196" t="str">
            <v xml:space="preserve">One Shot 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</row>
        <row r="197">
          <cell r="E197" t="str">
            <v>407 ROUTE 105 - OS</v>
          </cell>
          <cell r="F197" t="e">
            <v>#N/A</v>
          </cell>
          <cell r="H197" t="str">
            <v xml:space="preserve">One Shot 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E198" t="str">
            <v>2191 BANTREE ST</v>
          </cell>
          <cell r="F198" t="e">
            <v>#N/A</v>
          </cell>
          <cell r="H198" t="str">
            <v>Regular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</row>
        <row r="199">
          <cell r="E199" t="str">
            <v>2191 BANTREE ST - OS</v>
          </cell>
          <cell r="F199" t="e">
            <v>#N/A</v>
          </cell>
          <cell r="H199" t="str">
            <v xml:space="preserve">One Shot 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</row>
        <row r="200">
          <cell r="E200" t="str">
            <v>Multiple TD locations PW - Ottawa and Kingston</v>
          </cell>
          <cell r="F200" t="e">
            <v>#N/A</v>
          </cell>
          <cell r="H200" t="str">
            <v xml:space="preserve">One Shot 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</row>
        <row r="201">
          <cell r="E201" t="str">
            <v>5 PRETORIA AVENUE - OS</v>
          </cell>
          <cell r="F201" t="e">
            <v>#N/A</v>
          </cell>
          <cell r="H201" t="str">
            <v xml:space="preserve">One Shot 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</row>
        <row r="202">
          <cell r="E202" t="str">
            <v>BAYSHORE MALL WINTER MATS- OS</v>
          </cell>
          <cell r="F202" t="e">
            <v>#N/A</v>
          </cell>
          <cell r="H202" t="str">
            <v xml:space="preserve">One Shot 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</row>
        <row r="203">
          <cell r="E203" t="str">
            <v>MACH- 222 Queen- OS</v>
          </cell>
          <cell r="F203" t="e">
            <v>#N/A</v>
          </cell>
          <cell r="H203" t="str">
            <v xml:space="preserve">One Shot 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E204" t="str">
            <v>641 Sladen Av-St Laurent School-OS</v>
          </cell>
          <cell r="F204" t="e">
            <v>#N/A</v>
          </cell>
          <cell r="H204" t="str">
            <v xml:space="preserve">One Shot 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</row>
        <row r="205">
          <cell r="E205" t="str">
            <v>1062 PRINCESS ST - OS</v>
          </cell>
          <cell r="F205" t="str">
            <v>9359-6633 Quebec Inc</v>
          </cell>
          <cell r="H205" t="str">
            <v xml:space="preserve">One Shot </v>
          </cell>
          <cell r="I205">
            <v>100.00000000000004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</row>
        <row r="206">
          <cell r="E206" t="str">
            <v>1671 MERIVALE-OS</v>
          </cell>
          <cell r="F206" t="e">
            <v>#N/A</v>
          </cell>
          <cell r="H206" t="str">
            <v xml:space="preserve">One Shot 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7">
          <cell r="E207" t="str">
            <v>320 BOUL DES ALLUMETTIERES - OS</v>
          </cell>
          <cell r="F207" t="e">
            <v>#N/A</v>
          </cell>
          <cell r="H207" t="str">
            <v xml:space="preserve">One Shot 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E208" t="str">
            <v>217 GORE ROAD - OS</v>
          </cell>
          <cell r="F208" t="e">
            <v>#N/A</v>
          </cell>
          <cell r="H208" t="str">
            <v xml:space="preserve">One Shot 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E209" t="str">
            <v>180 KENT STREET UNIT 100 - OS</v>
          </cell>
          <cell r="F209" t="e">
            <v>#N/A</v>
          </cell>
          <cell r="H209" t="str">
            <v xml:space="preserve">One Shot 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E210" t="str">
            <v>100 Bayshore Dr - OS</v>
          </cell>
          <cell r="F210" t="e">
            <v>#N/A</v>
          </cell>
          <cell r="H210" t="str">
            <v xml:space="preserve">One Shot 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E211" t="str">
            <v>1679 RUE ROUTHIER-GATINEAU - OS</v>
          </cell>
          <cell r="F211" t="e">
            <v>#N/A</v>
          </cell>
          <cell r="H211" t="str">
            <v xml:space="preserve">One Shot 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</row>
        <row r="212">
          <cell r="E212" t="str">
            <v>1106 KLONDIKE UNIT A - OS</v>
          </cell>
          <cell r="F212" t="e">
            <v>#N/A</v>
          </cell>
          <cell r="H212" t="str">
            <v xml:space="preserve">One Shot 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E213" t="str">
            <v>50 RIDEAU STREET - OS</v>
          </cell>
          <cell r="F213" t="e">
            <v>#N/A</v>
          </cell>
          <cell r="H213" t="str">
            <v xml:space="preserve">One Shot 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E214" t="str">
            <v>700 EAGLESON ROAD, UNIT 100 - OS</v>
          </cell>
          <cell r="F214" t="e">
            <v>#N/A</v>
          </cell>
          <cell r="H214" t="str">
            <v xml:space="preserve">One Shot 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E215" t="str">
            <v>751 Eagleson Rd-OS</v>
          </cell>
          <cell r="F215" t="e">
            <v>#N/A</v>
          </cell>
          <cell r="H215" t="str">
            <v xml:space="preserve">One Shot 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E216" t="str">
            <v>Warehouse C NET</v>
          </cell>
          <cell r="F216" t="str">
            <v>12433087 Canada Inc</v>
          </cell>
          <cell r="H216" t="str">
            <v>Project Work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E217" t="str">
            <v>MACH-1801 Hoilis (4054)-OS</v>
          </cell>
          <cell r="F217" t="e">
            <v>#N/A</v>
          </cell>
          <cell r="H217" t="str">
            <v xml:space="preserve">One Shot 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E218" t="str">
            <v>MACH-1155 Robert Bourassa (1243)-OS</v>
          </cell>
          <cell r="F218" t="e">
            <v>#N/A</v>
          </cell>
          <cell r="H218" t="str">
            <v xml:space="preserve">One Shot 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</row>
        <row r="219">
          <cell r="E219" t="str">
            <v>MACH-99 Wyse (4055)-OS</v>
          </cell>
          <cell r="F219" t="e">
            <v>#N/A</v>
          </cell>
          <cell r="H219" t="str">
            <v xml:space="preserve">One Shot 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E220" t="str">
            <v>4422 INNES ROAD - OS</v>
          </cell>
          <cell r="F220" t="e">
            <v>#N/A</v>
          </cell>
          <cell r="H220" t="str">
            <v xml:space="preserve">One Shot 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E221" t="str">
            <v>MACH-2001 McGill (1601)-OS</v>
          </cell>
          <cell r="F221" t="e">
            <v>#N/A</v>
          </cell>
          <cell r="H221" t="str">
            <v xml:space="preserve">One Shot 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E222" t="str">
            <v>234 Rideau (4027)-OS</v>
          </cell>
          <cell r="F222" t="e">
            <v>#N/A</v>
          </cell>
          <cell r="H222" t="str">
            <v xml:space="preserve">One Shot 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E223" t="str">
            <v>110 O'Connor St.-OS</v>
          </cell>
          <cell r="F223" t="str">
            <v>12433087 Canada Inc</v>
          </cell>
          <cell r="H223" t="str">
            <v xml:space="preserve">One Shot 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E224" t="str">
            <v>66 Slater St.-OS</v>
          </cell>
          <cell r="F224" t="e">
            <v>#N/A</v>
          </cell>
          <cell r="H224" t="str">
            <v xml:space="preserve">One Shot 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E225" t="str">
            <v>225 Monteral RD - OS</v>
          </cell>
          <cell r="F225" t="e">
            <v>#N/A</v>
          </cell>
          <cell r="H225" t="str">
            <v xml:space="preserve">One Shot 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E226" t="str">
            <v>469 Coventry Rd - OS</v>
          </cell>
          <cell r="F226" t="e">
            <v>#N/A</v>
          </cell>
          <cell r="H226" t="str">
            <v xml:space="preserve">One Shot 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E227" t="str">
            <v>1423 Startop - OS</v>
          </cell>
          <cell r="F227" t="str">
            <v>9359-6633 Quebec Inc</v>
          </cell>
          <cell r="H227" t="str">
            <v xml:space="preserve">One Shot </v>
          </cell>
          <cell r="I227">
            <v>184.49999999999983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E228" t="str">
            <v>3605 Innes Rd- OS</v>
          </cell>
          <cell r="F228" t="e">
            <v>#N/A</v>
          </cell>
          <cell r="H228" t="str">
            <v xml:space="preserve">One Shot 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E229" t="str">
            <v>2767 Sheffield Rd - OS</v>
          </cell>
          <cell r="F229" t="e">
            <v>#N/A</v>
          </cell>
          <cell r="H229" t="str">
            <v xml:space="preserve">One Shot 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E230" t="str">
            <v>1260 Old Innes Rd - OS</v>
          </cell>
          <cell r="F230" t="e">
            <v>#N/A</v>
          </cell>
          <cell r="H230" t="str">
            <v xml:space="preserve">One Shot 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E231" t="str">
            <v>65 Iber Rd - OS</v>
          </cell>
          <cell r="F231" t="e">
            <v>#N/A</v>
          </cell>
          <cell r="H231" t="str">
            <v xml:space="preserve">One Shot 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E232" t="str">
            <v>300 Slater - OS</v>
          </cell>
          <cell r="F232" t="e">
            <v>#N/A</v>
          </cell>
          <cell r="H232" t="str">
            <v xml:space="preserve">One Shot 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E233" t="str">
            <v>1236 WELLINGTON STREET-OS</v>
          </cell>
          <cell r="F233" t="e">
            <v>#N/A</v>
          </cell>
          <cell r="H233" t="str">
            <v xml:space="preserve">One Shot 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</row>
        <row r="234">
          <cell r="E234" t="str">
            <v>99 Fifth (Bank &amp; fifth) Residential and Commercial (4018) - OS</v>
          </cell>
          <cell r="F234" t="e">
            <v>#N/A</v>
          </cell>
          <cell r="H234" t="str">
            <v xml:space="preserve">One Shot 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</row>
        <row r="235">
          <cell r="E235" t="str">
            <v>2215 Gladwin Crescent - OS</v>
          </cell>
          <cell r="F235" t="e">
            <v>#N/A</v>
          </cell>
          <cell r="H235" t="str">
            <v xml:space="preserve">One Shot 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E236" t="str">
            <v>FMZ:*BMO0261 - 1381 WOODROFFE AVENUE, Ottawa - JANITORIAL SERVICE - FEB25 TO DEC25*1381 WOODROFFE AVENUE, OTTAWA</v>
          </cell>
          <cell r="F236" t="str">
            <v>9359-6633 Quebec Inc</v>
          </cell>
          <cell r="H236" t="str">
            <v>Regular</v>
          </cell>
          <cell r="I236">
            <v>514.99111111111097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75</v>
          </cell>
        </row>
        <row r="237">
          <cell r="E237" t="str">
            <v>2204 Bank St</v>
          </cell>
          <cell r="F237" t="str">
            <v>9359-6633 Quebec Inc</v>
          </cell>
          <cell r="H237" t="str">
            <v>Regular</v>
          </cell>
          <cell r="I237">
            <v>453.19022222222264</v>
          </cell>
          <cell r="J237">
            <v>103.54</v>
          </cell>
          <cell r="K237">
            <v>0</v>
          </cell>
          <cell r="L237">
            <v>0</v>
          </cell>
          <cell r="M237">
            <v>0</v>
          </cell>
          <cell r="N237">
            <v>75</v>
          </cell>
        </row>
        <row r="238">
          <cell r="E238" t="str">
            <v>1381 Woodroffe Ave - OS</v>
          </cell>
          <cell r="F238" t="e">
            <v>#N/A</v>
          </cell>
          <cell r="H238" t="str">
            <v xml:space="preserve">One Shot 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E239" t="str">
            <v>700 Sussex (4940)-OS</v>
          </cell>
          <cell r="F239" t="e">
            <v>#N/A</v>
          </cell>
          <cell r="H239" t="str">
            <v xml:space="preserve">One Shot 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E240" t="str">
            <v>1648 MONTREAL ROAD - OS</v>
          </cell>
          <cell r="F240" t="e">
            <v>#N/A</v>
          </cell>
          <cell r="H240" t="str">
            <v xml:space="preserve">One Shot 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E241" t="str">
            <v>40 Landry-OS</v>
          </cell>
          <cell r="F241" t="str">
            <v>12433087 Canada Inc</v>
          </cell>
          <cell r="H241" t="str">
            <v xml:space="preserve">One Shot </v>
          </cell>
          <cell r="I241">
            <v>133.125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E242" t="str">
            <v>161 Elgin St-Courthouse</v>
          </cell>
          <cell r="F242" t="e">
            <v>#N/A</v>
          </cell>
          <cell r="H242" t="str">
            <v xml:space="preserve">One Shot 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E243" t="str">
            <v>MACH-171 Slater-OS</v>
          </cell>
          <cell r="F243" t="e">
            <v>#N/A</v>
          </cell>
          <cell r="H243" t="str">
            <v xml:space="preserve">One Shot 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</row>
        <row r="244">
          <cell r="E244" t="str">
            <v>MACH-201-211 Laurier Ave East-OS</v>
          </cell>
          <cell r="F244" t="e">
            <v>#N/A</v>
          </cell>
          <cell r="H244" t="str">
            <v xml:space="preserve">One Shot 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E245" t="str">
            <v>99 Rue Dollard-Buckingham</v>
          </cell>
          <cell r="F245" t="e">
            <v>#N/A</v>
          </cell>
          <cell r="H245" t="str">
            <v>Regular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E246" t="str">
            <v>99 Rue Dollard-Buckingham</v>
          </cell>
          <cell r="F246" t="e">
            <v>#N/A</v>
          </cell>
          <cell r="H246" t="str">
            <v>Regular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</row>
        <row r="247">
          <cell r="E247" t="str">
            <v>Jean Coutu #361- 110 Rue Georges Masson Anger</v>
          </cell>
          <cell r="F247" t="e">
            <v>#N/A</v>
          </cell>
          <cell r="H247" t="str">
            <v>Regular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E248" t="str">
            <v>Jean Coutu #135- 740 Av Buckimham</v>
          </cell>
          <cell r="F248" t="e">
            <v>#N/A</v>
          </cell>
          <cell r="H248" t="str">
            <v>Regular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E249" t="str">
            <v>150 Metcalfe-OS</v>
          </cell>
          <cell r="F249" t="e">
            <v>#N/A</v>
          </cell>
          <cell r="H249" t="str">
            <v xml:space="preserve">One Shot 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E250" t="str">
            <v>175 Main-OS</v>
          </cell>
          <cell r="F250" t="e">
            <v>#N/A</v>
          </cell>
          <cell r="H250" t="str">
            <v xml:space="preserve">One Shot 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E251" t="str">
            <v>171 O'Connor-OS</v>
          </cell>
          <cell r="F251" t="e">
            <v>#N/A</v>
          </cell>
          <cell r="H251" t="str">
            <v xml:space="preserve">One Shot 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E252" t="str">
            <v>90 Sparks-OS</v>
          </cell>
          <cell r="F252" t="e">
            <v>#N/A</v>
          </cell>
          <cell r="H252" t="str">
            <v xml:space="preserve">One Shot 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E253" t="str">
            <v>42 Bath Road BMO - OS</v>
          </cell>
          <cell r="F253" t="e">
            <v>#N/A</v>
          </cell>
          <cell r="H253" t="str">
            <v xml:space="preserve">One Shot 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</row>
        <row r="254">
          <cell r="E254" t="str">
            <v>110 Place d'Orleans-CIBC-OS</v>
          </cell>
          <cell r="F254" t="e">
            <v>#N/A</v>
          </cell>
          <cell r="H254" t="str">
            <v xml:space="preserve">One Shot 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E255" t="str">
            <v>429 Rue Principale-OS</v>
          </cell>
          <cell r="F255" t="e">
            <v>#N/A</v>
          </cell>
          <cell r="H255" t="str">
            <v xml:space="preserve">One Shot 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E256" t="str">
            <v>3695 Deslaurentides-OS</v>
          </cell>
          <cell r="F256" t="e">
            <v>#N/A</v>
          </cell>
          <cell r="H256" t="str">
            <v xml:space="preserve">One Shot 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7">
          <cell r="E257" t="str">
            <v>100 BAYSHORE - BAYSHORE MALL - OS</v>
          </cell>
          <cell r="F257" t="e">
            <v>#N/A</v>
          </cell>
          <cell r="H257" t="str">
            <v xml:space="preserve">One Shot 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E258" t="str">
            <v>2608 INNES ROAD - OS</v>
          </cell>
          <cell r="F258" t="e">
            <v>#N/A</v>
          </cell>
          <cell r="H258" t="str">
            <v xml:space="preserve">One Shot 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</row>
        <row r="259">
          <cell r="E259" t="str">
            <v>99 BOULEVARD DEL HOPITAL-OS</v>
          </cell>
          <cell r="F259" t="e">
            <v>#N/A</v>
          </cell>
          <cell r="H259" t="str">
            <v xml:space="preserve">One Shot 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</row>
        <row r="260">
          <cell r="E260" t="str">
            <v>910 WATTERS ROAD - OS</v>
          </cell>
          <cell r="F260" t="e">
            <v>#N/A</v>
          </cell>
          <cell r="H260" t="str">
            <v xml:space="preserve">One Shot 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E261" t="str">
            <v>3671 STRANDHERD DRIVE - OS</v>
          </cell>
          <cell r="F261" t="e">
            <v>#N/A</v>
          </cell>
          <cell r="H261" t="str">
            <v xml:space="preserve">One Shot 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E262" t="str">
            <v>21 James - 420 Gilmour - 21 James Parking (4938-1)</v>
          </cell>
          <cell r="F262" t="str">
            <v>12433087 Canada Inc</v>
          </cell>
          <cell r="H262" t="str">
            <v>Regular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3373.4</v>
          </cell>
          <cell r="N262">
            <v>0</v>
          </cell>
        </row>
        <row r="263">
          <cell r="E263" t="str">
            <v>60 Queen - OS</v>
          </cell>
          <cell r="F263" t="e">
            <v>#N/A</v>
          </cell>
          <cell r="H263" t="str">
            <v xml:space="preserve">One Shot 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E264" t="str">
            <v>5305 Bank St-OS</v>
          </cell>
          <cell r="F264" t="e">
            <v>#N/A</v>
          </cell>
          <cell r="H264" t="str">
            <v xml:space="preserve">One Shot 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E265" t="str">
            <v>219 Argyle Av</v>
          </cell>
          <cell r="F265" t="str">
            <v>12433087 Canada Inc</v>
          </cell>
          <cell r="H265" t="str">
            <v>Regular</v>
          </cell>
          <cell r="I265">
            <v>1608.1999999999989</v>
          </cell>
          <cell r="J265">
            <v>323.16000000000003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</row>
        <row r="266">
          <cell r="E266" t="str">
            <v>15 TASCHEREAU QC - OS</v>
          </cell>
          <cell r="F266" t="e">
            <v>#N/A</v>
          </cell>
          <cell r="H266" t="str">
            <v xml:space="preserve">One Shot 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E267" t="str">
            <v>240 Brittany Dr. - OS</v>
          </cell>
          <cell r="F267" t="e">
            <v>#N/A</v>
          </cell>
          <cell r="H267" t="str">
            <v xml:space="preserve">One Shot 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E268" t="str">
            <v>950 Beaumont reg (1370) - OS</v>
          </cell>
          <cell r="F268" t="e">
            <v>#N/A</v>
          </cell>
          <cell r="H268" t="str">
            <v xml:space="preserve">One Shot 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</row>
        <row r="269">
          <cell r="E269" t="str">
            <v>MACH-625 Rene Levesque (1634) - OS</v>
          </cell>
          <cell r="F269" t="e">
            <v>#N/A</v>
          </cell>
          <cell r="H269" t="str">
            <v xml:space="preserve">One Shot 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E270" t="str">
            <v>MACH-1080 Beaver Hall (1610) - OS</v>
          </cell>
          <cell r="F270" t="e">
            <v>#N/A</v>
          </cell>
          <cell r="H270" t="str">
            <v xml:space="preserve">One Shot 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</row>
        <row r="271">
          <cell r="E271" t="str">
            <v>MACH-8 Place De Commerce (1636) - OS</v>
          </cell>
          <cell r="F271" t="e">
            <v>#N/A</v>
          </cell>
          <cell r="H271" t="str">
            <v xml:space="preserve">One Shot 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</row>
        <row r="272">
          <cell r="E272" t="str">
            <v>130 - 6500 TRANS-CANADA HWY-Pointe Claire - OS</v>
          </cell>
          <cell r="F272" t="e">
            <v>#N/A</v>
          </cell>
          <cell r="H272" t="str">
            <v xml:space="preserve">One Shot 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E273" t="str">
            <v xml:space="preserve">50 Rideau Parking </v>
          </cell>
          <cell r="F273" t="e">
            <v>#N/A</v>
          </cell>
          <cell r="H273" t="str">
            <v>Regular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E274" t="str">
            <v>101 Boulevard Cardinal Leger</v>
          </cell>
          <cell r="F274" t="str">
            <v>12433087 Canada Inc</v>
          </cell>
          <cell r="H274" t="str">
            <v>Regular</v>
          </cell>
          <cell r="I274">
            <v>2090.35</v>
          </cell>
          <cell r="J274">
            <v>218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E275" t="str">
            <v>Office-219 Colonnade</v>
          </cell>
          <cell r="F275" t="str">
            <v>12433087 Canada Inc</v>
          </cell>
          <cell r="H275" t="str">
            <v/>
          </cell>
          <cell r="I275">
            <v>500.00000000000023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</row>
        <row r="276">
          <cell r="E276" t="str">
            <v>2012 MER BLEUE ROAD - OS</v>
          </cell>
          <cell r="F276" t="e">
            <v>#N/A</v>
          </cell>
          <cell r="H276" t="str">
            <v xml:space="preserve">One Shot 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E277" t="str">
            <v>2 Rue Montcalm - OS</v>
          </cell>
          <cell r="F277" t="e">
            <v>#N/A</v>
          </cell>
          <cell r="H277" t="str">
            <v xml:space="preserve">One Shot 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</row>
        <row r="278">
          <cell r="E278" t="str">
            <v>1 Antares Road</v>
          </cell>
          <cell r="F278" t="e">
            <v>#N/A</v>
          </cell>
          <cell r="H278" t="str">
            <v xml:space="preserve">One Shot 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</row>
        <row r="279">
          <cell r="E279" t="str">
            <v>170 Laurier W  - OS</v>
          </cell>
          <cell r="F279" t="e">
            <v>#N/A</v>
          </cell>
          <cell r="H279" t="str">
            <v xml:space="preserve">One Shot 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E280" t="str">
            <v>1071 Ambleside Drive</v>
          </cell>
          <cell r="F280" t="e">
            <v>#N/A</v>
          </cell>
          <cell r="H280" t="str">
            <v/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E281" t="str">
            <v>MACH-550 De la Cite-(4039) - OS</v>
          </cell>
          <cell r="F281" t="e">
            <v>#N/A</v>
          </cell>
          <cell r="H281" t="str">
            <v>Regular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E282" t="str">
            <v>1540 Kilborn</v>
          </cell>
          <cell r="F282" t="e">
            <v>#N/A</v>
          </cell>
          <cell r="H282" t="str">
            <v xml:space="preserve">One Shot 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</row>
        <row r="283">
          <cell r="E283" t="str">
            <v>180 Elgin St. - OS</v>
          </cell>
          <cell r="F283" t="e">
            <v>#N/A</v>
          </cell>
          <cell r="H283" t="str">
            <v xml:space="preserve">One Shot 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E284" t="str">
            <v>117 Bath Rd - OS</v>
          </cell>
          <cell r="F284" t="e">
            <v>#N/A</v>
          </cell>
          <cell r="H284" t="str">
            <v xml:space="preserve">One Shot 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E285" t="str">
            <v>523 Gardiners Rd - OS</v>
          </cell>
          <cell r="F285" t="str">
            <v>9359-6633 Quebec Inc</v>
          </cell>
          <cell r="H285" t="str">
            <v xml:space="preserve">One Shot </v>
          </cell>
          <cell r="I285">
            <v>126.00000000000003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</row>
        <row r="286">
          <cell r="E286" t="str">
            <v>823 Princess St - OS</v>
          </cell>
          <cell r="F286" t="str">
            <v>9359-6633 Quebec Inc</v>
          </cell>
          <cell r="H286" t="str">
            <v xml:space="preserve">One Shot </v>
          </cell>
          <cell r="I286">
            <v>144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E287" t="str">
            <v>62 Auriga-OS</v>
          </cell>
          <cell r="F287" t="e">
            <v>#N/A</v>
          </cell>
          <cell r="H287" t="str">
            <v xml:space="preserve">One Shot 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E288" t="str">
            <v>64 Auriga-OS</v>
          </cell>
          <cell r="F288" t="e">
            <v>#N/A</v>
          </cell>
          <cell r="H288" t="str">
            <v xml:space="preserve">One Shot 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E289" t="str">
            <v>65 Auriga-OS</v>
          </cell>
          <cell r="F289" t="e">
            <v>#N/A</v>
          </cell>
          <cell r="H289" t="str">
            <v xml:space="preserve">One Shot 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E290" t="str">
            <v>TD 00139 - 94 PRINCESS ST - JANITORIAL SERVICE - MAY25 TO DEC25</v>
          </cell>
          <cell r="F290" t="str">
            <v>9359-6633 Quebec Inc</v>
          </cell>
          <cell r="H290" t="str">
            <v>Regular</v>
          </cell>
          <cell r="I290">
            <v>1182.5804444444434</v>
          </cell>
          <cell r="J290">
            <v>240.15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E291" t="str">
            <v>FMZ:*CM0A546_256 BAGOT ST. KINGSTON - JANITORIAL SERVICE - FEB25 TO DEC25*256 BAGOT ST., KINGSTON</v>
          </cell>
          <cell r="F291" t="str">
            <v>9359-6633 Quebec Inc</v>
          </cell>
          <cell r="H291" t="str">
            <v>Regular</v>
          </cell>
          <cell r="I291">
            <v>667.43088888888838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E292" t="str">
            <v>MACH-825 St Laurent-Longueil (1648) - OS</v>
          </cell>
          <cell r="F292" t="e">
            <v>#N/A</v>
          </cell>
          <cell r="H292" t="str">
            <v xml:space="preserve">One Shot 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E293" t="str">
            <v>OPA (4025) - OS</v>
          </cell>
          <cell r="F293" t="str">
            <v>12433087 Canada Inc</v>
          </cell>
          <cell r="H293" t="str">
            <v xml:space="preserve">One Shot </v>
          </cell>
          <cell r="I293">
            <v>52.800000000000004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</row>
        <row r="294">
          <cell r="E294" t="str">
            <v>27 Princess Street - OS</v>
          </cell>
          <cell r="F294" t="e">
            <v>#N/A</v>
          </cell>
          <cell r="H294" t="str">
            <v xml:space="preserve">One Shot 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E295" t="str">
            <v>94 Princess Street - OS</v>
          </cell>
          <cell r="F295" t="e">
            <v>#N/A</v>
          </cell>
          <cell r="H295" t="str">
            <v xml:space="preserve">One Shot 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E296" t="str">
            <v>90 Elgin Street - OS</v>
          </cell>
          <cell r="F296" t="e">
            <v>#N/A</v>
          </cell>
          <cell r="H296" t="str">
            <v xml:space="preserve">One Shot 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E297" t="str">
            <v>VIA Rail Ottawa - 200 Tremblay Rd - OS</v>
          </cell>
          <cell r="F297" t="str">
            <v>9359-6633 Quebec Inc</v>
          </cell>
          <cell r="H297" t="str">
            <v xml:space="preserve">One Shot </v>
          </cell>
          <cell r="I297">
            <v>369.6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</row>
        <row r="298">
          <cell r="E298" t="str">
            <v>210 Champlain (SAFLR210CH) - OS</v>
          </cell>
          <cell r="F298" t="e">
            <v>#N/A</v>
          </cell>
          <cell r="H298" t="str">
            <v>Regular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E299" t="str">
            <v>3540 Rockdale Rd - OS</v>
          </cell>
          <cell r="F299" t="e">
            <v>#N/A</v>
          </cell>
          <cell r="H299" t="str">
            <v xml:space="preserve">One Shot 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E300" t="str">
            <v>256 Bagot - OS</v>
          </cell>
          <cell r="F300" t="e">
            <v>#N/A</v>
          </cell>
          <cell r="H300" t="str">
            <v xml:space="preserve">One Shot 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</row>
        <row r="301">
          <cell r="E301" t="str">
            <v>69 RUE PRINCIPALE - OS</v>
          </cell>
          <cell r="F301" t="e">
            <v>#N/A</v>
          </cell>
          <cell r="H301" t="str">
            <v xml:space="preserve">One Shot 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2">
          <cell r="E302" t="str">
            <v>1327 ROUTE 148 - OS</v>
          </cell>
          <cell r="F302" t="e">
            <v>#N/A</v>
          </cell>
          <cell r="H302" t="str">
            <v xml:space="preserve">One Shot 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</row>
        <row r="303">
          <cell r="E303" t="str">
            <v>91 RUE MANGIN - OS</v>
          </cell>
          <cell r="F303" t="e">
            <v>#N/A</v>
          </cell>
          <cell r="H303" t="str">
            <v xml:space="preserve">One Shot 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E304" t="str">
            <v>2 RUE BELL- OS</v>
          </cell>
          <cell r="F304" t="e">
            <v>#N/A</v>
          </cell>
          <cell r="H304" t="str">
            <v xml:space="preserve">One Shot 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E305" t="str">
            <v>106 RUE ST-JOSEPH - OS</v>
          </cell>
          <cell r="F305" t="e">
            <v>#N/A</v>
          </cell>
          <cell r="H305" t="str">
            <v xml:space="preserve">One Shot 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E306" t="str">
            <v>1113 ROUTE 117 - OS</v>
          </cell>
          <cell r="F306" t="e">
            <v>#N/A</v>
          </cell>
          <cell r="H306" t="str">
            <v xml:space="preserve">One Shot 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E307" t="str">
            <v>407 ROUTE 105 - OS</v>
          </cell>
          <cell r="F307" t="e">
            <v>#N/A</v>
          </cell>
          <cell r="H307" t="str">
            <v xml:space="preserve">One Shot 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E308" t="str">
            <v>8 CHEMIN PRINCIPAL - OS</v>
          </cell>
          <cell r="F308" t="e">
            <v>#N/A</v>
          </cell>
          <cell r="H308" t="str">
            <v xml:space="preserve">One Shot 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</row>
        <row r="309">
          <cell r="E309" t="str">
            <v>941 CHEMIN DAMASSE PERRIER - OS</v>
          </cell>
          <cell r="F309" t="e">
            <v>#N/A</v>
          </cell>
          <cell r="H309" t="str">
            <v xml:space="preserve">One Shot 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E310" t="str">
            <v>345 RUE DES OBLATS - OS</v>
          </cell>
          <cell r="F310" t="e">
            <v>#N/A</v>
          </cell>
          <cell r="H310" t="str">
            <v xml:space="preserve">One Shot 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E311" t="str">
            <v>225 RUE HERAULT - OS</v>
          </cell>
          <cell r="F311" t="e">
            <v>#N/A</v>
          </cell>
          <cell r="H311" t="str">
            <v xml:space="preserve">One Shot 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E312" t="str">
            <v>201 RUE ST-HENRI - OS</v>
          </cell>
          <cell r="F312" t="e">
            <v>#N/A</v>
          </cell>
          <cell r="H312" t="str">
            <v xml:space="preserve">One Shot 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E313" t="str">
            <v>99 RUE NOTRE-DAME- OS</v>
          </cell>
          <cell r="F313" t="e">
            <v>#N/A</v>
          </cell>
          <cell r="H313" t="str">
            <v xml:space="preserve">One Shot 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E314" t="str">
            <v>282 RUE VIGER- OS</v>
          </cell>
          <cell r="F314" t="e">
            <v>#N/A</v>
          </cell>
          <cell r="H314" t="str">
            <v xml:space="preserve">One Shot 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E315" t="str">
            <v>1028 RUE CLARENDON- OS</v>
          </cell>
          <cell r="F315" t="e">
            <v>#N/A</v>
          </cell>
          <cell r="H315" t="str">
            <v xml:space="preserve">One Shot 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E316" t="str">
            <v>150 AVENUE VICTORIA  - OS</v>
          </cell>
          <cell r="F316" t="e">
            <v>#N/A</v>
          </cell>
          <cell r="H316" t="str">
            <v xml:space="preserve">One Shot 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E317" t="str">
            <v>124 RUE PRINCIPALE- OS</v>
          </cell>
          <cell r="F317" t="e">
            <v>#N/A</v>
          </cell>
          <cell r="H317" t="str">
            <v xml:space="preserve">One Shot 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E318" t="str">
            <v>82 RUE PORTELANCE- OS</v>
          </cell>
          <cell r="F318" t="e">
            <v>#N/A</v>
          </cell>
          <cell r="H318" t="str">
            <v xml:space="preserve">One Shot 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E319" t="str">
            <v>1486 ROUTE PRINCIPALE- OS</v>
          </cell>
          <cell r="F319" t="e">
            <v>#N/A</v>
          </cell>
          <cell r="H319" t="str">
            <v xml:space="preserve">One Shot 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E320" t="str">
            <v>23 RUE DU MANOIR- OS</v>
          </cell>
          <cell r="F320" t="e">
            <v>#N/A</v>
          </cell>
          <cell r="H320" t="str">
            <v xml:space="preserve">One Shot 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E321" t="str">
            <v>44 DE LA VALLEE-DE-WAKEFIELD - OS</v>
          </cell>
          <cell r="F321" t="e">
            <v>#N/A</v>
          </cell>
          <cell r="H321" t="str">
            <v xml:space="preserve">One Shot 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</row>
        <row r="322">
          <cell r="E322" t="str">
            <v>37 ROUTE PRINCIPALE O. - OS</v>
          </cell>
          <cell r="F322" t="e">
            <v>#N/A</v>
          </cell>
          <cell r="H322" t="str">
            <v xml:space="preserve">One Shot 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E323" t="str">
            <v>1 CHAMPAGNE ST</v>
          </cell>
          <cell r="F323" t="e">
            <v>#N/A</v>
          </cell>
          <cell r="H323" t="str">
            <v xml:space="preserve">One Shot 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4">
          <cell r="E324" t="str">
            <v>2175 Robertson Rd - OS</v>
          </cell>
          <cell r="F324" t="e">
            <v>#N/A</v>
          </cell>
          <cell r="H324" t="str">
            <v xml:space="preserve">One Shot 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</row>
        <row r="325">
          <cell r="E325" t="str">
            <v>523 Gardiners Rd</v>
          </cell>
          <cell r="F325" t="str">
            <v>9359-6633 Quebec Inc</v>
          </cell>
          <cell r="H325" t="str">
            <v>Regular</v>
          </cell>
          <cell r="I325">
            <v>606.01333333333378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E326" t="str">
            <v>823 Princess St</v>
          </cell>
          <cell r="F326" t="str">
            <v>9359-6633 Quebec Inc</v>
          </cell>
          <cell r="H326" t="str">
            <v>Regular</v>
          </cell>
          <cell r="I326">
            <v>436.49777777777763</v>
          </cell>
          <cell r="J326">
            <v>75.8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</row>
        <row r="327">
          <cell r="E327" t="str">
            <v>VIA Rail Kingston - 1800 John Counter Blvd - OS</v>
          </cell>
          <cell r="F327" t="e">
            <v>#N/A</v>
          </cell>
          <cell r="H327" t="str">
            <v xml:space="preserve">One Shot 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</row>
        <row r="328">
          <cell r="E328" t="str">
            <v>1960 Parkedale Ave, Brockville - TD - OS</v>
          </cell>
          <cell r="F328" t="e">
            <v>#N/A</v>
          </cell>
          <cell r="H328" t="str">
            <v xml:space="preserve">One Shot 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</row>
        <row r="329">
          <cell r="E329" t="str">
            <v>100 King St E, Gananoque - TD - OS</v>
          </cell>
          <cell r="F329" t="e">
            <v>#N/A</v>
          </cell>
          <cell r="H329" t="str">
            <v xml:space="preserve">One Shot 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</row>
        <row r="330">
          <cell r="E330" t="str">
            <v>100 King St W, Prescott - TD - OS</v>
          </cell>
          <cell r="F330" t="e">
            <v>#N/A</v>
          </cell>
          <cell r="H330" t="str">
            <v xml:space="preserve">One Shot 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E331" t="str">
            <v>1840 Woodward Av.</v>
          </cell>
          <cell r="F331" t="e">
            <v>#N/A</v>
          </cell>
          <cell r="H331" t="str">
            <v xml:space="preserve">One Shot 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E332" t="str">
            <v>1585 Merivale - TD - OS</v>
          </cell>
          <cell r="F332" t="e">
            <v>#N/A</v>
          </cell>
          <cell r="H332" t="str">
            <v xml:space="preserve">One Shot 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E333" t="str">
            <v>218 Hunt Club- TD - OS</v>
          </cell>
          <cell r="F333" t="e">
            <v>#N/A</v>
          </cell>
          <cell r="H333" t="str">
            <v xml:space="preserve">One Shot 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</row>
        <row r="334">
          <cell r="E334" t="str">
            <v>263 Elgin - TD</v>
          </cell>
          <cell r="F334" t="e">
            <v>#N/A</v>
          </cell>
          <cell r="H334" t="str">
            <v xml:space="preserve">One Shot 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</row>
        <row r="335">
          <cell r="E335" t="str">
            <v xml:space="preserve">100 Constellation Dr. </v>
          </cell>
          <cell r="F335" t="e">
            <v>#N/A</v>
          </cell>
          <cell r="H335" t="str">
            <v xml:space="preserve">One Shot 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</row>
        <row r="336">
          <cell r="E336" t="str">
            <v>World Exchange Plaza Parking  Garage - OS</v>
          </cell>
          <cell r="F336" t="e">
            <v>#N/A</v>
          </cell>
          <cell r="H336" t="str">
            <v xml:space="preserve">One Shot 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</row>
        <row r="337">
          <cell r="E337" t="str">
            <v>7 RODGERS RD-NS-OS</v>
          </cell>
          <cell r="F337" t="e">
            <v>#N/A</v>
          </cell>
          <cell r="H337" t="str">
            <v xml:space="preserve">One Shot 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</row>
        <row r="338">
          <cell r="E338" t="str">
            <v>1739 OLD ROUTE 5 RTE-OS</v>
          </cell>
          <cell r="F338" t="e">
            <v>#N/A</v>
          </cell>
          <cell r="H338" t="str">
            <v xml:space="preserve">One Shot 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</row>
        <row r="339">
          <cell r="E339" t="str">
            <v>107 SAINT MARYS ST-ANTIGONISH- OS</v>
          </cell>
          <cell r="F339" t="e">
            <v>#N/A</v>
          </cell>
          <cell r="H339" t="str">
            <v xml:space="preserve">One Shot 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</row>
        <row r="340">
          <cell r="E340" t="str">
            <v>9 PRATT AND WHITNEY DR</v>
          </cell>
          <cell r="F340" t="e">
            <v>#N/A</v>
          </cell>
          <cell r="H340" t="str">
            <v>Regular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</row>
        <row r="341">
          <cell r="E341" t="str">
            <v>175 CHAIN LAKE DRIVE LOT 55AREOR DRIVE</v>
          </cell>
          <cell r="F341" t="e">
            <v>#N/A</v>
          </cell>
          <cell r="H341" t="str">
            <v>Regular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</row>
        <row r="342">
          <cell r="E342" t="str">
            <v>35 PROSPECT RD</v>
          </cell>
          <cell r="F342" t="e">
            <v>#N/A</v>
          </cell>
          <cell r="H342" t="str">
            <v>Regular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</row>
        <row r="343">
          <cell r="E343" t="str">
            <v>1750 ST. MARGARETS BAY RD</v>
          </cell>
          <cell r="F343" t="e">
            <v>#N/A</v>
          </cell>
          <cell r="H343" t="str">
            <v>Regular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E344" t="str">
            <v>255 DELUSION RD</v>
          </cell>
          <cell r="F344" t="e">
            <v>#N/A</v>
          </cell>
          <cell r="H344" t="str">
            <v>Regular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E345" t="str">
            <v>6733 HIGHWAY 215 HWY</v>
          </cell>
          <cell r="F345" t="e">
            <v>#N/A</v>
          </cell>
          <cell r="H345" t="str">
            <v>Regular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</row>
        <row r="346">
          <cell r="E346" t="str">
            <v>1618 NS-236 HWY</v>
          </cell>
          <cell r="F346" t="e">
            <v>#N/A</v>
          </cell>
          <cell r="H346" t="str">
            <v>Regular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</row>
        <row r="347">
          <cell r="E347" t="str">
            <v>10970 PEGGYS COVE RD</v>
          </cell>
          <cell r="F347" t="e">
            <v>#N/A</v>
          </cell>
          <cell r="H347" t="str">
            <v>Regular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</row>
        <row r="348">
          <cell r="E348" t="str">
            <v>1165 KETCH HARBOUR RD</v>
          </cell>
          <cell r="F348" t="e">
            <v>#N/A</v>
          </cell>
          <cell r="H348" t="str">
            <v>Regular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</row>
        <row r="349">
          <cell r="E349" t="str">
            <v>30 SELFRIDGE WAY</v>
          </cell>
          <cell r="F349" t="e">
            <v>#N/A</v>
          </cell>
          <cell r="H349" t="str">
            <v>Regular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</row>
        <row r="350">
          <cell r="E350" t="str">
            <v>5736 BAY RD</v>
          </cell>
          <cell r="F350" t="e">
            <v>#N/A</v>
          </cell>
          <cell r="H350" t="str">
            <v>Regular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</row>
        <row r="351">
          <cell r="E351" t="str">
            <v>196 BOARD LANDING RD</v>
          </cell>
          <cell r="F351" t="e">
            <v>#N/A</v>
          </cell>
          <cell r="H351" t="str">
            <v>Regular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</row>
        <row r="352">
          <cell r="E352" t="str">
            <v>1722 FENWICK RD</v>
          </cell>
          <cell r="F352" t="e">
            <v>#N/A</v>
          </cell>
          <cell r="H352" t="str">
            <v>Regular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</row>
        <row r="353">
          <cell r="E353" t="str">
            <v>3530 HIGHWAY 209 HWY</v>
          </cell>
          <cell r="F353" t="e">
            <v>#N/A</v>
          </cell>
          <cell r="H353" t="str">
            <v>Regular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</row>
        <row r="354">
          <cell r="E354" t="str">
            <v>29 WHARF RD</v>
          </cell>
          <cell r="F354" t="e">
            <v>#N/A</v>
          </cell>
          <cell r="H354" t="str">
            <v>Regular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</row>
        <row r="355">
          <cell r="E355" t="str">
            <v>1261 PLAINS RD</v>
          </cell>
          <cell r="F355" t="e">
            <v>#N/A</v>
          </cell>
          <cell r="H355" t="str">
            <v>Regular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</row>
        <row r="356">
          <cell r="E356" t="str">
            <v>312 TRUNK 2 HWY</v>
          </cell>
          <cell r="F356" t="e">
            <v>#N/A</v>
          </cell>
          <cell r="H356" t="str">
            <v>Regular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</row>
        <row r="357">
          <cell r="E357" t="str">
            <v>8821 HIGHWAY 2 HWY</v>
          </cell>
          <cell r="F357" t="e">
            <v>#N/A</v>
          </cell>
          <cell r="H357" t="str">
            <v>Regular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</row>
        <row r="358">
          <cell r="E358" t="str">
            <v>6305 HIGHWAY 354 HWY</v>
          </cell>
          <cell r="F358" t="e">
            <v>#N/A</v>
          </cell>
          <cell r="H358" t="str">
            <v>Regular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E359" t="str">
            <v>11502 HIGHWAY 7 HWY</v>
          </cell>
          <cell r="F359" t="e">
            <v>#N/A</v>
          </cell>
          <cell r="H359" t="str">
            <v>Regular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</row>
        <row r="360">
          <cell r="E360" t="str">
            <v>3275 HIGHWAY 7 HWY</v>
          </cell>
          <cell r="F360" t="e">
            <v>#N/A</v>
          </cell>
          <cell r="H360" t="str">
            <v>Regular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E361" t="str">
            <v>3178 HIGHWAY 302</v>
          </cell>
          <cell r="F361" t="e">
            <v>#N/A</v>
          </cell>
          <cell r="H361" t="str">
            <v>Regular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</row>
        <row r="362">
          <cell r="E362" t="str">
            <v>17 MAPLE ST</v>
          </cell>
          <cell r="F362" t="e">
            <v>#N/A</v>
          </cell>
          <cell r="H362" t="str">
            <v>Regular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</row>
        <row r="363">
          <cell r="E363" t="str">
            <v>12346 ROUTE 224 RTE NORTH</v>
          </cell>
          <cell r="F363" t="e">
            <v>#N/A</v>
          </cell>
          <cell r="H363" t="str">
            <v>Regular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</row>
        <row r="364">
          <cell r="E364" t="str">
            <v>8028 HIGHWAY 7 HWY</v>
          </cell>
          <cell r="F364" t="e">
            <v>#N/A</v>
          </cell>
          <cell r="H364" t="str">
            <v>Regular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</row>
        <row r="365">
          <cell r="E365" t="str">
            <v>5774 HWY 214 / NOVA SCOTIA 14 HWY</v>
          </cell>
          <cell r="F365" t="e">
            <v>#N/A</v>
          </cell>
          <cell r="H365" t="str">
            <v>Regular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</row>
        <row r="366">
          <cell r="E366" t="str">
            <v>9024 HWY 354 HWY</v>
          </cell>
          <cell r="F366" t="e">
            <v>#N/A</v>
          </cell>
          <cell r="H366" t="str">
            <v>Regular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E367" t="str">
            <v>7761 HIGHWAY 207 HWY</v>
          </cell>
          <cell r="F367" t="e">
            <v>#N/A</v>
          </cell>
          <cell r="H367" t="str">
            <v>Regular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</row>
        <row r="368">
          <cell r="E368" t="str">
            <v>13 TERRENCE BAY RD</v>
          </cell>
          <cell r="F368" t="e">
            <v>#N/A</v>
          </cell>
          <cell r="H368" t="str">
            <v>Regular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E369" t="str">
            <v>17695 HIGHWAY 7 HWY</v>
          </cell>
          <cell r="F369" t="e">
            <v>#N/A</v>
          </cell>
          <cell r="H369" t="str">
            <v>Regular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E370" t="str">
            <v>82 HIGHWAY 336 HWY</v>
          </cell>
          <cell r="F370" t="e">
            <v>#N/A</v>
          </cell>
          <cell r="H370" t="str">
            <v>Regular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E371" t="str">
            <v>5529 HIGHWAY 289 HWY</v>
          </cell>
          <cell r="F371" t="e">
            <v>#N/A</v>
          </cell>
          <cell r="H371" t="str">
            <v>Regular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E372" t="str">
            <v>FMZ:*B00368_50 PAYZANT AVE DARTMOUTH - JANITORIAL SERVICE - FEB25 TO DEC25*50 PAYZANT AVE, DARTMOUTH</v>
          </cell>
          <cell r="F372" t="str">
            <v>9359-6633 Quebec Inc</v>
          </cell>
          <cell r="H372" t="str">
            <v>Regular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54.6</v>
          </cell>
        </row>
        <row r="373">
          <cell r="E373" t="str">
            <v>FMZ:*B00371_347 COW BAY RD EASTERN PASSAGE - JANITORIAL SERVICE - FEB25 TO DEC25*347 COW BAY RD, EASTERN PASSAG</v>
          </cell>
          <cell r="F373" t="str">
            <v>9359-6633 Quebec Inc</v>
          </cell>
          <cell r="H373" t="str">
            <v>Regular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30.3</v>
          </cell>
        </row>
        <row r="374">
          <cell r="E374" t="str">
            <v>FMZ:*B00383_3200 HIGHWAY 2 HWY FALL RIVER - JANITORIAL SERVICE - FEB25 TO DEC25*3200 HIGHWAY 2 HWY, FALL RIVER</v>
          </cell>
          <cell r="F374" t="str">
            <v>9359-6633 Quebec Inc</v>
          </cell>
          <cell r="H374" t="str">
            <v>Regular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171.21</v>
          </cell>
        </row>
        <row r="375">
          <cell r="E375" t="str">
            <v>FMZ:*B00384_417 CALDWELL RD WILLOWDALE - JANITORIAL SERVICE - FEB25 TO DEC25*417 CALDWELL RD, WILLOWDALE</v>
          </cell>
          <cell r="F375" t="str">
            <v>9359-6633 Quebec Inc</v>
          </cell>
          <cell r="H375" t="str">
            <v>Regular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38.04</v>
          </cell>
        </row>
        <row r="376">
          <cell r="E376" t="str">
            <v>FMZ:*B00511_22485 HIGHWAY 7 HWY SHEET HARBOUR - JANITORIAL SERVICE - FEB25 TO DEC25*22485 HIGHWAY 7 HWY, SHEET HAR</v>
          </cell>
          <cell r="F376" t="str">
            <v>9359-6633 Quebec Inc</v>
          </cell>
          <cell r="H376" t="str">
            <v>Regular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40.04</v>
          </cell>
        </row>
        <row r="377">
          <cell r="E377" t="str">
            <v>FMZ:*B00512_2838 HWY 2 HWY SHUBENACADIE - JANITORIAL SERVICE - FEB25 TO DEC25*2838 HWY 2 HWY, SHUBENACADIE</v>
          </cell>
          <cell r="F377" t="str">
            <v>9359-6633 Quebec Inc</v>
          </cell>
          <cell r="H377" t="str">
            <v>Regular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110.66</v>
          </cell>
        </row>
        <row r="378">
          <cell r="E378" t="str">
            <v>FMZ:*B00370_77 WRIGHT AVE DARTMOUTH - JANITORIAL SERVICE - FEB25 TO DEC25*77 WRIGHT AVE, DARTMOUTH</v>
          </cell>
          <cell r="F378" t="str">
            <v>9359-6633 Quebec Inc</v>
          </cell>
          <cell r="H378" t="str">
            <v>Regular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424.97</v>
          </cell>
        </row>
        <row r="379">
          <cell r="E379" t="str">
            <v>FMZ:*B00369_1068 BEDFORD HIGHWAY HWY BEDFORD - JANITORIAL SERVICE - FEB25 TO DEC25*1068 BEDFORD HIGHWAY HWY, BEDF</v>
          </cell>
          <cell r="F379" t="str">
            <v>9359-6633 Quebec Inc</v>
          </cell>
          <cell r="H379" t="str">
            <v>Regular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129.77000000000001</v>
          </cell>
        </row>
        <row r="380">
          <cell r="E380" t="str">
            <v>FMZ:*B00376_34 WENTWORTH ST DARTMOUTH - JANITORIAL SERVICE - FEB25 TO DEC25*34 WENTWORTH ST, DARTMOUTH</v>
          </cell>
          <cell r="F380" t="str">
            <v>9359-6633 Quebec Inc</v>
          </cell>
          <cell r="H380" t="str">
            <v>Regular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515.15</v>
          </cell>
        </row>
        <row r="381">
          <cell r="E381" t="str">
            <v>FMZ:*B00378_110 CLAYTON PARK DR HALIFAX - JANITORIAL SERVICE - FEB25 TO DEC25*110 CLAYTON PARK DR, HALIFAX</v>
          </cell>
          <cell r="F381" t="str">
            <v>9359-6633 Quebec Inc</v>
          </cell>
          <cell r="H381" t="str">
            <v>Regular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380.56</v>
          </cell>
        </row>
        <row r="382">
          <cell r="E382" t="str">
            <v>FMZ:*B00379_127 BEAVERBANK RD SACKVILLE - JANITORIAL SERVICE - FEB25 TO DEC25*127 BEAVERBANK RD, SACKVILLE</v>
          </cell>
          <cell r="F382" t="str">
            <v>9359-6633 Quebec Inc</v>
          </cell>
          <cell r="H382" t="str">
            <v>Regular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409.5</v>
          </cell>
        </row>
        <row r="383">
          <cell r="E383" t="str">
            <v>FMZ:*B00491_140 NINE MILE RIVER RD ELMSDALE - JANITORIAL SERVICE - FEB25 TO DEC25*140 RTE 214, ELMSDALE</v>
          </cell>
          <cell r="F383" t="str">
            <v>9359-6633 Quebec Inc</v>
          </cell>
          <cell r="H383" t="str">
            <v>Regular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75.81</v>
          </cell>
        </row>
        <row r="384">
          <cell r="E384" t="str">
            <v>FMZ:*B00380_299 HERRING COVE RD SPRYFIELD - JANITORIAL SERVICE - FEB25 TO DEC25*299 HERRING COVE RD, SPRYFIELD</v>
          </cell>
          <cell r="F384" t="str">
            <v>9359-6633 Quebec Inc</v>
          </cell>
          <cell r="H384" t="str">
            <v>Regular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734.81</v>
          </cell>
        </row>
        <row r="385">
          <cell r="E385" t="str">
            <v>FMZ:*B00385_37 WOODLAWN RD DARTMOUTH - JANITORIAL SERVICE - FEB25 TO DEC25*37 WOODLAWN RD, DARTMOUTH</v>
          </cell>
          <cell r="F385" t="str">
            <v>9359-6633 Quebec Inc</v>
          </cell>
          <cell r="H385" t="str">
            <v>Regular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656.91</v>
          </cell>
        </row>
        <row r="386">
          <cell r="E386" t="str">
            <v>FMZ:*B00373_5557 ANNANDALE HALIFAX - JANITORIAL SERVICE - FEB25 TO DEC25*5557 ANNANDALE, HALIFAX</v>
          </cell>
          <cell r="F386" t="str">
            <v>9359-6633 Quebec Inc</v>
          </cell>
          <cell r="H386" t="str">
            <v>Regular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509.96</v>
          </cell>
        </row>
        <row r="387">
          <cell r="E387" t="str">
            <v>FMZ:*B00374_5788 NORTH HALIFAX - JANITORIAL SERVICE - FEB25 TO DEC25*5788 NORTH ST, HALIFAX</v>
          </cell>
          <cell r="F387" t="e">
            <v>#N/A</v>
          </cell>
          <cell r="H387" t="str">
            <v>Regular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</row>
        <row r="388">
          <cell r="E388" t="str">
            <v>4434 HIGHWAY 3</v>
          </cell>
          <cell r="F388" t="e">
            <v>#N/A</v>
          </cell>
          <cell r="H388" t="str">
            <v>Regular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E389" t="str">
            <v>8147 HIGHWAY 3</v>
          </cell>
          <cell r="F389" t="e">
            <v>#N/A</v>
          </cell>
          <cell r="H389" t="str">
            <v>Regular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E390" t="str">
            <v>3980 HIGHWAY 340 HWY</v>
          </cell>
          <cell r="F390" t="e">
            <v>#N/A</v>
          </cell>
          <cell r="H390" t="str">
            <v>Regular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E391" t="str">
            <v>2576 MAIN ST</v>
          </cell>
          <cell r="F391" t="e">
            <v>#N/A</v>
          </cell>
          <cell r="H391" t="str">
            <v>Regular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E392" t="str">
            <v>35 PORT CLYDE RD</v>
          </cell>
          <cell r="F392" t="e">
            <v>#N/A</v>
          </cell>
          <cell r="H392" t="str">
            <v>Regular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E393" t="str">
            <v>460 HIGHWAY 217 HWY</v>
          </cell>
          <cell r="F393" t="e">
            <v>#N/A</v>
          </cell>
          <cell r="H393" t="str">
            <v>Regular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E394" t="str">
            <v>13 BEECH</v>
          </cell>
          <cell r="F394" t="e">
            <v>#N/A</v>
          </cell>
          <cell r="H394" t="str">
            <v>Regular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</row>
        <row r="395">
          <cell r="E395" t="str">
            <v>146 PETER DUGAS RD</v>
          </cell>
          <cell r="F395" t="e">
            <v>#N/A</v>
          </cell>
          <cell r="H395" t="str">
            <v>Regular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E396" t="str">
            <v>1 MAIN RD</v>
          </cell>
          <cell r="F396" t="e">
            <v>#N/A</v>
          </cell>
          <cell r="H396" t="str">
            <v>Regular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E397" t="str">
            <v>138 OLD FERRY WHARF RD</v>
          </cell>
          <cell r="F397" t="e">
            <v>#N/A</v>
          </cell>
          <cell r="H397" t="str">
            <v>Regular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E398" t="str">
            <v>3456 HIGHWAY 1 HWY</v>
          </cell>
          <cell r="F398" t="e">
            <v>#N/A</v>
          </cell>
          <cell r="H398" t="str">
            <v>Regular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E399" t="str">
            <v>56 ABBOTTS HARBOUR RD</v>
          </cell>
          <cell r="F399" t="e">
            <v>#N/A</v>
          </cell>
          <cell r="H399" t="str">
            <v>Regular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E400" t="str">
            <v>27 LOWER LAHAVE RD</v>
          </cell>
          <cell r="F400" t="e">
            <v>#N/A</v>
          </cell>
          <cell r="H400" t="str">
            <v>Regular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E401" t="str">
            <v>6075 HIGHWAY 217 HWY</v>
          </cell>
          <cell r="F401" t="e">
            <v>#N/A</v>
          </cell>
          <cell r="H401" t="str">
            <v>Regular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E402" t="str">
            <v>552 HIGHWAY 1 HWY</v>
          </cell>
          <cell r="F402" t="e">
            <v>#N/A</v>
          </cell>
          <cell r="H402" t="str">
            <v>Regular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E403" t="str">
            <v>34 COURTHOUSE HWY</v>
          </cell>
          <cell r="F403" t="e">
            <v>#N/A</v>
          </cell>
          <cell r="H403" t="str">
            <v>Regular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E404" t="str">
            <v>2743 HIGHWAY 334 HWY</v>
          </cell>
          <cell r="F404" t="e">
            <v>#N/A</v>
          </cell>
          <cell r="H404" t="str">
            <v>Regular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E405" t="str">
            <v>3 COMEAU RD</v>
          </cell>
          <cell r="F405" t="e">
            <v>#N/A</v>
          </cell>
          <cell r="H405" t="str">
            <v>Regular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E406" t="str">
            <v>6731 HIGHWAY 3 HWY</v>
          </cell>
          <cell r="F406" t="e">
            <v>#N/A</v>
          </cell>
          <cell r="H406" t="str">
            <v>Regular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E407" t="str">
            <v>35 HOGAN RD</v>
          </cell>
          <cell r="F407" t="e">
            <v>#N/A</v>
          </cell>
          <cell r="H407" t="str">
            <v>Regular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</row>
        <row r="408">
          <cell r="E408" t="str">
            <v>2736 HIGHWAY 1 HWY</v>
          </cell>
          <cell r="F408" t="e">
            <v>#N/A</v>
          </cell>
          <cell r="H408" t="str">
            <v>Regular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E409" t="str">
            <v>1285 RIVER RD</v>
          </cell>
          <cell r="F409" t="e">
            <v>#N/A</v>
          </cell>
          <cell r="H409" t="str">
            <v>Regular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E410" t="str">
            <v>1007 HIGHWAY 215 HWY</v>
          </cell>
          <cell r="F410" t="e">
            <v>#N/A</v>
          </cell>
          <cell r="H410" t="str">
            <v>Regular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E411" t="str">
            <v>975 NORTH AVE</v>
          </cell>
          <cell r="F411" t="e">
            <v>#N/A</v>
          </cell>
          <cell r="H411" t="str">
            <v>Regular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E412" t="str">
            <v>2261 HIGHWAY 210 HWY</v>
          </cell>
          <cell r="F412" t="e">
            <v>#N/A</v>
          </cell>
          <cell r="H412" t="str">
            <v>Regular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E413" t="str">
            <v>28 HIGHWAY 12 HWY</v>
          </cell>
          <cell r="F413" t="e">
            <v>#N/A</v>
          </cell>
          <cell r="H413" t="str">
            <v>Regular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E414" t="str">
            <v>105 QUEEN ST</v>
          </cell>
          <cell r="F414" t="e">
            <v>#N/A</v>
          </cell>
          <cell r="H414" t="str">
            <v>Regular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</row>
        <row r="415">
          <cell r="E415" t="str">
            <v>44 MAIN ST</v>
          </cell>
          <cell r="F415" t="e">
            <v>#N/A</v>
          </cell>
          <cell r="H415" t="str">
            <v>Regular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E416" t="str">
            <v>31 OLD POST RD</v>
          </cell>
          <cell r="F416" t="e">
            <v>#N/A</v>
          </cell>
          <cell r="H416" t="str">
            <v>Regular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</row>
        <row r="417">
          <cell r="E417" t="str">
            <v>3486 ROUTE 331 RTE</v>
          </cell>
          <cell r="F417" t="e">
            <v>#N/A</v>
          </cell>
          <cell r="H417" t="str">
            <v>Regular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E418" t="str">
            <v>7 CLAIRMONT ST</v>
          </cell>
          <cell r="F418" t="e">
            <v>#N/A</v>
          </cell>
          <cell r="H418" t="str">
            <v>Regular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</row>
        <row r="419">
          <cell r="E419" t="str">
            <v>4847 HIGHWAY 12 HWY</v>
          </cell>
          <cell r="F419" t="e">
            <v>#N/A</v>
          </cell>
          <cell r="H419" t="str">
            <v>Regular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</row>
        <row r="420">
          <cell r="E420" t="str">
            <v>787 HIGHWAY 10 HWY</v>
          </cell>
          <cell r="F420" t="e">
            <v>#N/A</v>
          </cell>
          <cell r="H420" t="str">
            <v>Regular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E421" t="str">
            <v>11 GEORGE RD</v>
          </cell>
          <cell r="F421" t="e">
            <v>#N/A</v>
          </cell>
          <cell r="H421" t="str">
            <v>Regular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</row>
        <row r="422">
          <cell r="E422" t="str">
            <v>38 LEES LN</v>
          </cell>
          <cell r="F422" t="e">
            <v>#N/A</v>
          </cell>
          <cell r="H422" t="str">
            <v>Regular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</row>
        <row r="423">
          <cell r="E423" t="str">
            <v>FMZ:*B00393_2427 HIGHWAY 3 HWY BARRINGTON - JANITORIAL SERVICE - FEB25 TO DEC25*2427 HIGHWAY 3 HWY, BARRINGTON</v>
          </cell>
          <cell r="F423" t="str">
            <v>9359-6633 Quebec Inc</v>
          </cell>
          <cell r="H423" t="str">
            <v>Regular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65.05</v>
          </cell>
        </row>
        <row r="424">
          <cell r="E424" t="str">
            <v>FMZ:*B00399_23 WATER ST DIGBY - JANITORIAL SERVICE - FEB25 TO DEC25*23 WATER ST, DIGBY</v>
          </cell>
          <cell r="F424" t="str">
            <v>9359-6633 Quebec Inc</v>
          </cell>
          <cell r="H424" t="str">
            <v>Regular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117</v>
          </cell>
        </row>
        <row r="425">
          <cell r="E425" t="str">
            <v>FMZ:*B00401_36 COURT ST LIVERPOOL - JANITORIAL SERVICE - FEB25 TO DEC25*36 COURT ST, LIVERPOOL</v>
          </cell>
          <cell r="F425" t="str">
            <v>9359-6633 Quebec Inc</v>
          </cell>
          <cell r="H425" t="str">
            <v>Regular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106.08</v>
          </cell>
        </row>
        <row r="426">
          <cell r="E426" t="str">
            <v>FMZ:*B00412_26 KING ST SHELBURNE - JANITORIAL SERVICE - FEB25 TO DEC25*26 KING ST, SHELBURNE</v>
          </cell>
          <cell r="F426" t="str">
            <v>9359-6633 Quebec Inc</v>
          </cell>
          <cell r="H426" t="str">
            <v>Regular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63.72</v>
          </cell>
        </row>
        <row r="427">
          <cell r="E427" t="str">
            <v>FMZ:*B00431_70 VICTORIA ST ANNAPOLIS ROYAL - JANITORIAL SERVICE - FEB25 TO DEC25*70 VICTORIA ST, ANNAPOLIS ROYA</v>
          </cell>
          <cell r="F427" t="str">
            <v>9359-6633 Quebec Inc</v>
          </cell>
          <cell r="H427" t="str">
            <v>Regular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103.43</v>
          </cell>
        </row>
        <row r="428">
          <cell r="E428" t="str">
            <v>FMZ:*B00434_218 COMMERCIAL ST BERWICK - JANITORIAL SERVICE - FEB25 TO DEC25*218 COMMERCIAL ST, BERWICK</v>
          </cell>
          <cell r="F428" t="str">
            <v>9359-6633 Quebec Inc</v>
          </cell>
          <cell r="H428" t="str">
            <v>Regular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169.26</v>
          </cell>
        </row>
        <row r="429">
          <cell r="E429" t="str">
            <v>FMZ:*B00435_309 GRANVILLE ST BRIDGETOWN - JANITORIAL SERVICE - FEB25 TO DEC25*309 GRANVILLE ST, BRIDGETOWN</v>
          </cell>
          <cell r="F429" t="str">
            <v>9359-6633 Quebec Inc</v>
          </cell>
          <cell r="H429" t="str">
            <v>Regular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300.83999999999997</v>
          </cell>
        </row>
        <row r="430">
          <cell r="E430" t="str">
            <v>FMZ:*B00449_548 HILLCREST KINGSTON - JANITORIAL SERVICE - FEB25 TO DEC25*548 HILLCREST, KINGSTON</v>
          </cell>
          <cell r="F430" t="str">
            <v>9359-6633 Quebec Inc</v>
          </cell>
          <cell r="H430" t="str">
            <v>Regular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187.2</v>
          </cell>
        </row>
        <row r="431">
          <cell r="E431" t="str">
            <v>FMZ:*B00451_562 MAIN ST LAWRENCETOWN - JANITORIAL SERVICE - FEB25 TO DEC25*562 MAIN STREET, LAWRENCETOWN</v>
          </cell>
          <cell r="F431" t="str">
            <v>9359-6633 Quebec Inc</v>
          </cell>
          <cell r="H431" t="str">
            <v>Regular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71.959999999999994</v>
          </cell>
        </row>
        <row r="432">
          <cell r="E432" t="str">
            <v>FMZ:*B00452_187 LINCOLN ST LUNENBURG - JANITORIAL SERVICE - FEB25 TO DEC25*187 LINCOLN ST, LUNENBURG</v>
          </cell>
          <cell r="F432" t="str">
            <v>9359-6633 Quebec Inc</v>
          </cell>
          <cell r="H432" t="str">
            <v>Regular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153.27000000000001</v>
          </cell>
        </row>
        <row r="433">
          <cell r="E433" t="str">
            <v>FMZ:*B00454_270 MAIN ST MIDDLETON - JANITORIAL SERVICE - FEB25 TO DEC25*270 MAIN ST, MIDDLETON</v>
          </cell>
          <cell r="F433" t="str">
            <v>9359-6633 Quebec Inc</v>
          </cell>
          <cell r="H433" t="str">
            <v>Regular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157.68</v>
          </cell>
        </row>
        <row r="434">
          <cell r="E434" t="str">
            <v>FMZ:*B00458_9149 COMMERCIAL ST NEW MINAS - JANITORIAL SERVICE - FEB25 TO DEC25*9149 COMMERCIAL ST, NEW MINAS</v>
          </cell>
          <cell r="F434" t="str">
            <v>9359-6633 Quebec Inc</v>
          </cell>
          <cell r="H434" t="str">
            <v>Regular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86.58</v>
          </cell>
        </row>
        <row r="435">
          <cell r="E435" t="str">
            <v>FMZ:*B00464_447 MAIN ST WOLFVILLE - JANITORIAL SERVICE - FEB25 TO DEC25*447 MAIN ST, WOLFVILLE</v>
          </cell>
          <cell r="F435" t="str">
            <v>9359-6633 Quebec Inc</v>
          </cell>
          <cell r="H435" t="str">
            <v>Regular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166.02</v>
          </cell>
        </row>
        <row r="436">
          <cell r="E436" t="str">
            <v>FMZ:*B00465_3119 CAMBROOKEN COURT 1 CRT COLDBROOK - JANITORIAL SERVICE - FEB25 TO DEC25*3119 CAMBROOKEN COURT 1 CRT, C</v>
          </cell>
          <cell r="F436" t="str">
            <v>9359-6633 Quebec Inc</v>
          </cell>
          <cell r="H436" t="str">
            <v>Regular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82.37</v>
          </cell>
        </row>
        <row r="437">
          <cell r="E437" t="str">
            <v>FMZ:*B00436_345 KING ST BRIDGEWATER - JANITORIAL SERVICE - FEB25 TO DEC25*345 KING ST, BRIDGEWATER</v>
          </cell>
          <cell r="F437" t="str">
            <v>9359-6633 Quebec Inc</v>
          </cell>
          <cell r="H437" t="str">
            <v>Regular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254.98</v>
          </cell>
        </row>
        <row r="438">
          <cell r="E438" t="str">
            <v>FMZ:*B00463_168 GERRISH WINDSOR - JANITORIAL SERVICE - FEB25 TO DEC25*168 GERRISH RD, WINDSOR</v>
          </cell>
          <cell r="F438" t="str">
            <v>9359-6633 Quebec Inc</v>
          </cell>
          <cell r="H438" t="str">
            <v>Regular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244.61</v>
          </cell>
        </row>
        <row r="439">
          <cell r="E439" t="str">
            <v>FMZ:*B00408_8 CENTRAL ST YARMOUTH - JANITORIAL SERVICE - FEB25 TO DEC25*8 CENTRAL ST, YARMOUTH</v>
          </cell>
          <cell r="F439" t="str">
            <v>9359-6633 Quebec Inc</v>
          </cell>
          <cell r="H439" t="str">
            <v>Regular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863.93</v>
          </cell>
        </row>
        <row r="440">
          <cell r="E440" t="str">
            <v>FMZ:*B00421_130 STARRS YARMOUTH - JANITORIAL SERVICE - FEB25 TO DEC25*130 STARRS RD, YARMOUTH</v>
          </cell>
          <cell r="F440" t="str">
            <v>9359-6633 Quebec Inc</v>
          </cell>
          <cell r="H440" t="str">
            <v>Regular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101.4</v>
          </cell>
        </row>
        <row r="441">
          <cell r="E441" t="str">
            <v>FMZ:*B00447_314 MAIN KENTVILLE - JANITORIAL SERVICE - FEB25 TO DEC25*314 MAIN ST, KENTVILLE</v>
          </cell>
          <cell r="F441" t="str">
            <v>9359-6633 Quebec Inc</v>
          </cell>
          <cell r="H441" t="str">
            <v>Regular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582.42999999999995</v>
          </cell>
        </row>
        <row r="442">
          <cell r="E442" t="str">
            <v>FMZ:*B00469_852 PARK ST KENTVILLE - JANITORIAL SERVICE - FEB25 TO DEC25*852 PARK ST, KENTVILLE</v>
          </cell>
          <cell r="F442" t="str">
            <v>9359-6633 Quebec Inc</v>
          </cell>
          <cell r="H442" t="str">
            <v>Regular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337.69</v>
          </cell>
        </row>
        <row r="443">
          <cell r="E443" t="str">
            <v>7 RODGERS RD</v>
          </cell>
          <cell r="F443" t="e">
            <v>#N/A</v>
          </cell>
          <cell r="H443" t="str">
            <v>Regular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E444" t="str">
            <v>1607 SHINIMICAS RD</v>
          </cell>
          <cell r="F444" t="e">
            <v>#N/A</v>
          </cell>
          <cell r="H444" t="str">
            <v>Regular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E445" t="str">
            <v>18 JACKSON ST</v>
          </cell>
          <cell r="F445" t="e">
            <v>#N/A</v>
          </cell>
          <cell r="H445" t="str">
            <v>Regular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E446" t="str">
            <v>215 MAIN ST</v>
          </cell>
          <cell r="F446" t="e">
            <v>#N/A</v>
          </cell>
          <cell r="H446" t="str">
            <v>Regular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E447" t="str">
            <v>8768 HIGHWAY 209 HWY</v>
          </cell>
          <cell r="F447" t="e">
            <v>#N/A</v>
          </cell>
          <cell r="H447" t="str">
            <v>Regular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E448" t="str">
            <v>10258 DURHAM ST</v>
          </cell>
          <cell r="F448" t="e">
            <v>#N/A</v>
          </cell>
          <cell r="H448" t="str">
            <v>Regular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E449" t="str">
            <v>1498 HIGHWAY 242 HWY</v>
          </cell>
          <cell r="F449" t="e">
            <v>#N/A</v>
          </cell>
          <cell r="H449" t="str">
            <v>Regular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E450" t="str">
            <v>50 HIGHWAY 2 HWY</v>
          </cell>
          <cell r="F450" t="e">
            <v>#N/A</v>
          </cell>
          <cell r="H450" t="str">
            <v>Regular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E451" t="str">
            <v>134 BLAIR AVE</v>
          </cell>
          <cell r="F451" t="e">
            <v>#N/A</v>
          </cell>
          <cell r="H451" t="str">
            <v>Regular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E452" t="str">
            <v>13754 MAIN ROAD RD</v>
          </cell>
          <cell r="F452" t="e">
            <v>#N/A</v>
          </cell>
          <cell r="H452" t="str">
            <v>Regular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</row>
        <row r="453">
          <cell r="E453" t="str">
            <v>13395 HIGHWAY 4 HWY</v>
          </cell>
          <cell r="F453" t="e">
            <v>#N/A</v>
          </cell>
          <cell r="H453" t="str">
            <v>Regular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</row>
        <row r="454">
          <cell r="E454" t="str">
            <v>1010 MOUNT WILLIAM RD</v>
          </cell>
          <cell r="F454" t="e">
            <v>#N/A</v>
          </cell>
          <cell r="H454" t="str">
            <v>Regular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</row>
        <row r="455">
          <cell r="E455" t="str">
            <v>49 MAIN ST</v>
          </cell>
          <cell r="F455" t="e">
            <v>#N/A</v>
          </cell>
          <cell r="H455" t="str">
            <v>Regular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E456" t="str">
            <v>14 HIGHWAY 316</v>
          </cell>
          <cell r="F456" t="e">
            <v>#N/A</v>
          </cell>
          <cell r="H456" t="str">
            <v>Regular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E457" t="str">
            <v>1674 SOUTH SHORE</v>
          </cell>
          <cell r="F457" t="e">
            <v>#N/A</v>
          </cell>
          <cell r="H457" t="str">
            <v>Regular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E458" t="str">
            <v>12942 HIGHWAY 316</v>
          </cell>
          <cell r="F458" t="e">
            <v>#N/A</v>
          </cell>
          <cell r="H458" t="str">
            <v>Regular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E459" t="str">
            <v>20943 HIGHWAY 276 &amp; 316</v>
          </cell>
          <cell r="F459" t="e">
            <v>#N/A</v>
          </cell>
          <cell r="H459" t="str">
            <v>Regular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E460" t="str">
            <v>79 MAIN HWY</v>
          </cell>
          <cell r="F460" t="e">
            <v>#N/A</v>
          </cell>
          <cell r="H460" t="str">
            <v>Regular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E461" t="str">
            <v>440 HEATHERTON VILLAGE RD</v>
          </cell>
          <cell r="F461" t="e">
            <v>#N/A</v>
          </cell>
          <cell r="H461" t="str">
            <v>Regular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E462" t="str">
            <v>3 HILLCREST LN</v>
          </cell>
          <cell r="F462" t="e">
            <v>#N/A</v>
          </cell>
          <cell r="H462" t="str">
            <v>Regular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E463" t="str">
            <v>11493 HIGHWAY 4 HWY</v>
          </cell>
          <cell r="F463" t="e">
            <v>#N/A</v>
          </cell>
          <cell r="H463" t="str">
            <v>Regular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E464" t="str">
            <v>9 HIGHWAY 316</v>
          </cell>
          <cell r="F464" t="e">
            <v>#N/A</v>
          </cell>
          <cell r="H464" t="str">
            <v>Regular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E465" t="str">
            <v>4989 HIGHWAY 7</v>
          </cell>
          <cell r="F465" t="e">
            <v>#N/A</v>
          </cell>
          <cell r="H465" t="str">
            <v>Regular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E466" t="str">
            <v>57 GLENELG CHURCH</v>
          </cell>
          <cell r="F466" t="e">
            <v>#N/A</v>
          </cell>
          <cell r="H466" t="str">
            <v>Regular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</row>
        <row r="467">
          <cell r="E467" t="str">
            <v>2988 HIGHWAY 245 HWY</v>
          </cell>
          <cell r="F467" t="e">
            <v>#N/A</v>
          </cell>
          <cell r="H467" t="str">
            <v>Regular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E468" t="str">
            <v>HIGHWAY 4 AND HIGHWAY 16</v>
          </cell>
          <cell r="F468" t="e">
            <v>#N/A</v>
          </cell>
          <cell r="H468" t="str">
            <v>Regular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E469" t="str">
            <v>431 MAIN ST</v>
          </cell>
          <cell r="F469" t="e">
            <v>#N/A</v>
          </cell>
          <cell r="H469" t="str">
            <v>Regular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E470" t="str">
            <v>26360 HWY 7 HWY</v>
          </cell>
          <cell r="F470" t="e">
            <v>#N/A</v>
          </cell>
          <cell r="H470" t="str">
            <v>Regular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E471" t="str">
            <v>1918 HIGHWAY 6 HWY</v>
          </cell>
          <cell r="F471" t="e">
            <v>#N/A</v>
          </cell>
          <cell r="H471" t="str">
            <v>Regular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2">
          <cell r="E472" t="str">
            <v>2365 HIGHWAY 4 HWY</v>
          </cell>
          <cell r="F472" t="e">
            <v>#N/A</v>
          </cell>
          <cell r="H472" t="str">
            <v>Regular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</row>
        <row r="473">
          <cell r="E473" t="str">
            <v>7 MAIN</v>
          </cell>
          <cell r="F473" t="e">
            <v>#N/A</v>
          </cell>
          <cell r="H473" t="str">
            <v>Regular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E474" t="str">
            <v>10 ACADIA ST</v>
          </cell>
          <cell r="F474" t="e">
            <v>#N/A</v>
          </cell>
          <cell r="H474" t="str">
            <v>Regular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E475" t="str">
            <v>410 THORBURN RD</v>
          </cell>
          <cell r="F475" t="e">
            <v>#N/A</v>
          </cell>
          <cell r="H475" t="str">
            <v>Regular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E476" t="str">
            <v>2269 GABARUS HWY</v>
          </cell>
          <cell r="F476" t="e">
            <v>#N/A</v>
          </cell>
          <cell r="H476" t="str">
            <v>Regular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E477" t="str">
            <v>120 POND RD</v>
          </cell>
          <cell r="F477" t="e">
            <v>#N/A</v>
          </cell>
          <cell r="H477" t="str">
            <v>Regular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E478" t="str">
            <v>88 GRANDIQUE RD</v>
          </cell>
          <cell r="F478" t="e">
            <v>#N/A</v>
          </cell>
          <cell r="H478" t="str">
            <v>Regular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E479" t="str">
            <v>1739 OLD ROUTE 5 RTE</v>
          </cell>
          <cell r="F479" t="e">
            <v>#N/A</v>
          </cell>
          <cell r="H479" t="str">
            <v>Regular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E480" t="str">
            <v>29654 CABOT TRAIL HWY</v>
          </cell>
          <cell r="F480" t="e">
            <v>#N/A</v>
          </cell>
          <cell r="H480" t="str">
            <v>Regular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E481" t="str">
            <v>3609 EAST BAY HIGHWAY HWY</v>
          </cell>
          <cell r="F481" t="e">
            <v>#N/A</v>
          </cell>
          <cell r="H481" t="str">
            <v>Regular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E482" t="str">
            <v>HIGHWAY 327 GABARUS</v>
          </cell>
          <cell r="F482" t="e">
            <v>#N/A</v>
          </cell>
          <cell r="H482" t="str">
            <v>Regular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E483" t="str">
            <v>8797 GRAND NARROWS HIGHWAY 223 HWY</v>
          </cell>
          <cell r="F483" t="e">
            <v>#N/A</v>
          </cell>
          <cell r="H483" t="str">
            <v>Regular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E484" t="str">
            <v>385 FRANKVILLE RD</v>
          </cell>
          <cell r="F484" t="e">
            <v>#N/A</v>
          </cell>
          <cell r="H484" t="str">
            <v>Regular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E485" t="str">
            <v>36839 CABOT TRAIL HWY</v>
          </cell>
          <cell r="F485" t="e">
            <v>#N/A</v>
          </cell>
          <cell r="H485" t="str">
            <v>Regular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E486" t="str">
            <v>7440 MAIN ST</v>
          </cell>
          <cell r="F486" t="e">
            <v>#N/A</v>
          </cell>
          <cell r="H486" t="str">
            <v>Regular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E487" t="str">
            <v>259 HIGHWAY 320 HWY</v>
          </cell>
          <cell r="F487" t="e">
            <v>#N/A</v>
          </cell>
          <cell r="H487" t="str">
            <v>Regular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</row>
        <row r="488">
          <cell r="E488" t="str">
            <v>11592 HIGHWAY 19 HWY</v>
          </cell>
          <cell r="F488" t="e">
            <v>#N/A</v>
          </cell>
          <cell r="H488" t="str">
            <v>Regular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</row>
        <row r="489">
          <cell r="E489" t="str">
            <v>7761 CABOT TRAIL HWY</v>
          </cell>
          <cell r="F489" t="e">
            <v>#N/A</v>
          </cell>
          <cell r="H489" t="str">
            <v>Regular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E490" t="str">
            <v>3980 GABARUS HIGHWAY HWY</v>
          </cell>
          <cell r="F490" t="e">
            <v>#N/A</v>
          </cell>
          <cell r="H490" t="str">
            <v>Regular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E491" t="str">
            <v>16 CLAN RANALD ROAD PORT HOODREOR</v>
          </cell>
          <cell r="F491" t="e">
            <v>#N/A</v>
          </cell>
          <cell r="H491" t="str">
            <v>Regular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E492" t="str">
            <v>2588 HIGHWAY 255 HWY</v>
          </cell>
          <cell r="F492" t="e">
            <v>#N/A</v>
          </cell>
          <cell r="H492" t="str">
            <v>Regular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E493" t="str">
            <v>272 FRENCHVALE RD</v>
          </cell>
          <cell r="F493" t="e">
            <v>#N/A</v>
          </cell>
          <cell r="H493" t="str">
            <v>Regular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E494" t="str">
            <v>46672 CABOT TRAIL HIGHWAY HWY</v>
          </cell>
          <cell r="F494" t="e">
            <v>#N/A</v>
          </cell>
          <cell r="H494" t="str">
            <v>Regular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</row>
        <row r="495">
          <cell r="E495" t="str">
            <v>2225 HIGHWAY 247 L'ARDOISE</v>
          </cell>
          <cell r="F495" t="e">
            <v>#N/A</v>
          </cell>
          <cell r="H495" t="str">
            <v>Regular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</row>
        <row r="496">
          <cell r="E496" t="str">
            <v>3909 LOUISBOURG HIGHWAY HWY</v>
          </cell>
          <cell r="F496" t="e">
            <v>#N/A</v>
          </cell>
          <cell r="H496" t="str">
            <v>Regular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E497" t="str">
            <v>17 TOMETARY DR</v>
          </cell>
          <cell r="F497" t="e">
            <v>#N/A</v>
          </cell>
          <cell r="H497" t="str">
            <v>Regular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E498" t="str">
            <v>1123 WESTMOUNT HIGHWAY HWY</v>
          </cell>
          <cell r="F498" t="e">
            <v>#N/A</v>
          </cell>
          <cell r="H498" t="str">
            <v>Regular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E499" t="str">
            <v>4678 SHORE RD</v>
          </cell>
          <cell r="F499" t="e">
            <v>#N/A</v>
          </cell>
          <cell r="H499" t="str">
            <v>Regular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E500" t="str">
            <v>5271 HIGHWAY 10 HWY</v>
          </cell>
          <cell r="F500" t="e">
            <v>#N/A</v>
          </cell>
          <cell r="H500" t="str">
            <v>Regular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E501" t="str">
            <v>FMZ:*B00488_9 ELM ST BROOKFIELD - JANITORIAL SERVICE - FEB25 TO DEC25*9 ELM ST, BROOKFIELD</v>
          </cell>
          <cell r="F501" t="str">
            <v>9359-6633 Quebec Inc</v>
          </cell>
          <cell r="H501" t="str">
            <v>Regular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14.37</v>
          </cell>
        </row>
        <row r="502">
          <cell r="E502" t="str">
            <v>FMZ:*B00514_89 MAIN ST SPRINGHILL - JANITORIAL SERVICE - FEB25 TO DEC25*89 MAIN, SPRINGHILL</v>
          </cell>
          <cell r="F502" t="str">
            <v>9359-6633 Quebec Inc</v>
          </cell>
          <cell r="H502" t="str">
            <v>Regular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39.520000000000003</v>
          </cell>
        </row>
        <row r="503">
          <cell r="E503" t="str">
            <v>FMZ:*B00515_15 MAIN STREET EAST ST EAST STEWIACKE - JANITORIAL SERVICE - FEB25 TO DEC25*15 MAIN STREET EAST ST EAST, S</v>
          </cell>
          <cell r="F503" t="str">
            <v>9359-6633 Quebec Inc</v>
          </cell>
          <cell r="H503" t="str">
            <v>Regular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24.31</v>
          </cell>
        </row>
        <row r="504">
          <cell r="E504" t="str">
            <v>FMZ:*B00551_87 COLORAINE ST PICTOU - JANITORIAL SERVICE - FEB25 TO DEC25*87 COLORAINE, PICTOU</v>
          </cell>
          <cell r="F504" t="str">
            <v>9359-6633 Quebec Inc</v>
          </cell>
          <cell r="H504" t="str">
            <v>Regular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31.2</v>
          </cell>
        </row>
        <row r="505">
          <cell r="E505" t="str">
            <v>FMZ:*B00560_1880 MAIN ST WESTVILLE - JANITORIAL SERVICE - FEB25 TO DEC25*1880 MAIN, WESTVILLE</v>
          </cell>
          <cell r="F505" t="str">
            <v>9359-6633 Quebec Inc</v>
          </cell>
          <cell r="H505" t="str">
            <v>Regular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25.93</v>
          </cell>
        </row>
        <row r="506">
          <cell r="E506" t="str">
            <v>FMZ:*B00583_77 HIGH STREET ST BADDECK - JANITORIAL SERVICE - FEB25 TO DEC25*77 HIGH STREET ST, BADDECK</v>
          </cell>
          <cell r="F506" t="str">
            <v>9359-6633 Quebec Inc</v>
          </cell>
          <cell r="H506" t="str">
            <v>Regular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18.87</v>
          </cell>
        </row>
        <row r="507">
          <cell r="E507" t="str">
            <v>FMZ:*B00586_19 AUCOIN RD CHETICAMP - JANITORIAL SERVICE - FEB25 TO DEC25*19 AUCOIN RD, CHETICAMP</v>
          </cell>
          <cell r="F507" t="str">
            <v>9359-6633 Quebec Inc</v>
          </cell>
          <cell r="H507" t="str">
            <v>Regular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26.91</v>
          </cell>
        </row>
        <row r="508">
          <cell r="E508" t="str">
            <v>FMZ:*B00595_4 HILLCREST ST INVERNESS - JANITORIAL SERVICE - FEB25 TO DEC25*4 HILLCREST ST, INVERNESS</v>
          </cell>
          <cell r="F508" t="str">
            <v>9359-6633 Quebec Inc</v>
          </cell>
          <cell r="H508" t="str">
            <v>Regular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23.95</v>
          </cell>
        </row>
        <row r="509">
          <cell r="E509" t="str">
            <v>FMZ:*B00602_484 GIBBON ST NEW WATERFORD - JANITORIAL SERVICE - FEB25 TO DEC25*484 GIBBON ST, NEW WATERFORD</v>
          </cell>
          <cell r="F509" t="str">
            <v>9359-6633 Quebec Inc</v>
          </cell>
          <cell r="H509" t="str">
            <v>Regular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85.41</v>
          </cell>
        </row>
        <row r="510">
          <cell r="E510" t="str">
            <v>FMZ:*B00603_25 ARCHIBALD AVE NORTH SYDNEY - JANITORIAL SERVICE - FEB25 TO DEC25*25 ARCHIBALD AVE, NORTH SYDNEY</v>
          </cell>
          <cell r="F510" t="str">
            <v>9359-6633 Quebec Inc</v>
          </cell>
          <cell r="H510" t="str">
            <v>Regular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95.86</v>
          </cell>
        </row>
        <row r="511">
          <cell r="E511" t="str">
            <v>FMZ:*B00614_10009 GRENVILLE ST ST. PETER'S - JANITORIAL SERVICE - FEB25 TO DEC25*10009 GRENVILLE ST, ST. PETER'</v>
          </cell>
          <cell r="F511" t="str">
            <v>9359-6633 Quebec Inc</v>
          </cell>
          <cell r="H511" t="str">
            <v>Regular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35.979999999999997</v>
          </cell>
        </row>
        <row r="512">
          <cell r="E512" t="str">
            <v>2 STAFFORD AVE</v>
          </cell>
          <cell r="F512" t="str">
            <v>9359-6633 Quebec Inc</v>
          </cell>
          <cell r="H512" t="str">
            <v>Regular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42.02</v>
          </cell>
        </row>
        <row r="513">
          <cell r="E513" t="str">
            <v>FMZ:*B00619_334 HIGHWAY 352 HWY WHYCOCOMAGH - JANITORIAL SERVICE - FEB25 TO DEC25*334 HIGHWAY 352 HWY, WHYCOCOMA</v>
          </cell>
          <cell r="F513" t="str">
            <v>9359-6633 Quebec Inc</v>
          </cell>
          <cell r="H513" t="str">
            <v>Regular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15.18</v>
          </cell>
        </row>
        <row r="514">
          <cell r="E514" t="str">
            <v>FMZ:*B00485_8 PRINCESS ST AMHERST - JANITORIAL SERVICE - FEB25 TO DEC25*8 PRINCESS ST, AMHERST</v>
          </cell>
          <cell r="F514" t="str">
            <v>9359-6633 Quebec Inc</v>
          </cell>
          <cell r="H514" t="str">
            <v>Regular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359.04</v>
          </cell>
        </row>
        <row r="515">
          <cell r="E515" t="str">
            <v>FMZ:*B00534_107 SAINT MARYS ST ANTIGONISH - JANITORIAL SERVICE - FEB25 TO DEC25*107 SAINT MARYS ST, ANTIGONISH</v>
          </cell>
          <cell r="F515" t="str">
            <v>9359-6633 Quebec Inc</v>
          </cell>
          <cell r="H515" t="str">
            <v>Regular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89.08</v>
          </cell>
        </row>
        <row r="516">
          <cell r="E516" t="str">
            <v>FMZ:*B00591_5 MARCONI ST GLACE BAY - JANITORIAL SERVICE - FEB25 TO DEC25*5 MARCONI ST, GLACE BAY</v>
          </cell>
          <cell r="F516" t="str">
            <v>9359-6633 Quebec Inc</v>
          </cell>
          <cell r="H516" t="str">
            <v>Regular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207.19</v>
          </cell>
        </row>
        <row r="517">
          <cell r="E517" t="str">
            <v>FMZ:*B00605_5 MACSWEEN ST PORT HAWKESBURY - JANITORIAL SERVICE - FEB25 TO DEC25*5 MACSWEEN ST, PORT HAWKESBURY</v>
          </cell>
          <cell r="F517" t="str">
            <v>9359-6633 Quebec Inc</v>
          </cell>
          <cell r="H517" t="str">
            <v>Regular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102.05</v>
          </cell>
        </row>
        <row r="518">
          <cell r="E518" t="str">
            <v>FMZ:*B00518_810 PRINCE ST TRURO - JANITORIAL SERVICE - FEB25 TO DEC25*810 PRINCE, TRURO</v>
          </cell>
          <cell r="F518" t="str">
            <v>9359-6633 Quebec Inc</v>
          </cell>
          <cell r="H518" t="str">
            <v>Regular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527.41</v>
          </cell>
        </row>
        <row r="519">
          <cell r="E519" t="str">
            <v>FMZ:*B00526_62 PARKWAY TRURO - JANITORIAL SERVICE - FEB25 TO DEC25*62 PARKWAY, TRURO</v>
          </cell>
          <cell r="F519" t="str">
            <v>9359-6633 Quebec Inc</v>
          </cell>
          <cell r="H519" t="str">
            <v>Regular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146.25</v>
          </cell>
        </row>
        <row r="520">
          <cell r="E520" t="str">
            <v>FMZ:*B00615_56 PITT ST SYDNEY - JANITORIAL SERVICE - FEB25 TO DEC25*56 PITT ST, SYDNEY</v>
          </cell>
          <cell r="F520" t="str">
            <v>9359-6633 Quebec Inc</v>
          </cell>
          <cell r="H520" t="str">
            <v>Regular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1903</v>
          </cell>
        </row>
        <row r="521">
          <cell r="E521" t="str">
            <v>FMZ:*B00550_187 FORBES ST NEW GLASGOW - JANITORIAL SERVICE - FEB25 TO DEC25*187 FORBES ST, NEW GLASGOW</v>
          </cell>
          <cell r="F521" t="str">
            <v>9359-6633 Quebec Inc</v>
          </cell>
          <cell r="H521" t="str">
            <v>Regular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856.34</v>
          </cell>
        </row>
        <row r="522">
          <cell r="E522" t="str">
            <v>FMZ:*B00608_367 KELTIC DRIVE SYDNEY RIVER - JANITORIAL SERVICE - FEB25 TO DEC25*367 KELTIC DRIVE DR, SYDNEY RI</v>
          </cell>
          <cell r="F522" t="str">
            <v>9359-6633 Quebec Inc</v>
          </cell>
          <cell r="H522" t="str">
            <v>Regular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45.14</v>
          </cell>
        </row>
        <row r="523">
          <cell r="E523" t="str">
            <v>FMZ:*B00625_369 KELTIC SYDNEY RIVER - JANITORIAL SERVICE - FEB25 TO DEC25*369 KELTIC DR, SYDNEY RIVER</v>
          </cell>
          <cell r="F523" t="str">
            <v>9359-6633 Quebec Inc</v>
          </cell>
          <cell r="H523" t="str">
            <v>Regular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536.38</v>
          </cell>
        </row>
        <row r="524">
          <cell r="E524" t="str">
            <v>700 St. Joseph</v>
          </cell>
          <cell r="F524" t="str">
            <v>13037622  Canada Inc</v>
          </cell>
          <cell r="H524" t="str">
            <v xml:space="preserve">One Shot </v>
          </cell>
          <cell r="I524">
            <v>2640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</row>
        <row r="525">
          <cell r="E525" t="str">
            <v>Cavendish Mall (1362) - OS</v>
          </cell>
          <cell r="F525" t="e">
            <v>#N/A</v>
          </cell>
          <cell r="H525" t="str">
            <v xml:space="preserve">One Shot 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E526" t="str">
            <v>340 Moodie Dr Bell - OS</v>
          </cell>
          <cell r="F526" t="e">
            <v>#N/A</v>
          </cell>
          <cell r="H526" t="str">
            <v xml:space="preserve">One Shot 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E527" t="str">
            <v>340 Moodie Dr Bell - OS</v>
          </cell>
          <cell r="F527" t="e">
            <v>#N/A</v>
          </cell>
          <cell r="H527" t="str">
            <v xml:space="preserve">One Shot 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E528" t="str">
            <v>5517 COUNTY ROAD 12</v>
          </cell>
          <cell r="F528" t="e">
            <v>#N/A</v>
          </cell>
          <cell r="H528" t="str">
            <v xml:space="preserve">One Shot 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E529" t="str">
            <v>1671 MERIVALE RD.</v>
          </cell>
          <cell r="F529" t="e">
            <v>#N/A</v>
          </cell>
          <cell r="H529" t="str">
            <v>Regular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E530" t="str">
            <v>1595 TELESAP COURT - OTTAWA</v>
          </cell>
          <cell r="F530" t="e">
            <v>#N/A</v>
          </cell>
          <cell r="H530" t="str">
            <v xml:space="preserve">One Shot 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E531" t="str">
            <v>31 LENNOX ST</v>
          </cell>
          <cell r="F531" t="e">
            <v>#N/A</v>
          </cell>
          <cell r="H531" t="str">
            <v>Regular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E532" t="str">
            <v>751 EAGLESON RD</v>
          </cell>
          <cell r="F532" t="e">
            <v>#N/A</v>
          </cell>
          <cell r="H532" t="str">
            <v>Regular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E533" t="str">
            <v>225 MONTREAL</v>
          </cell>
          <cell r="F533" t="e">
            <v>#N/A</v>
          </cell>
          <cell r="H533" t="str">
            <v>Regular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E534" t="str">
            <v>180 LEES AVENUE- APARTMENT 114 - OS</v>
          </cell>
          <cell r="F534" t="e">
            <v>#N/A</v>
          </cell>
          <cell r="H534" t="str">
            <v xml:space="preserve">One Shot 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E535" t="str">
            <v>2959 UPLANDS DR - OS</v>
          </cell>
          <cell r="F535" t="e">
            <v>#N/A</v>
          </cell>
          <cell r="H535" t="str">
            <v xml:space="preserve">One Shot 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E536" t="str">
            <v>6 ANTARES DR - OS</v>
          </cell>
          <cell r="F536" t="e">
            <v>#N/A</v>
          </cell>
          <cell r="H536" t="str">
            <v xml:space="preserve">One Shot 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E537" t="str">
            <v>930 CARLING AVE - OS</v>
          </cell>
          <cell r="F537" t="e">
            <v>#N/A</v>
          </cell>
          <cell r="H537" t="str">
            <v xml:space="preserve">One Shot 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E538" t="str">
            <v>740 BELFAST - OS</v>
          </cell>
          <cell r="F538" t="e">
            <v>#N/A</v>
          </cell>
          <cell r="H538" t="str">
            <v xml:space="preserve">One Shot 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E539" t="str">
            <v>5340 CANOTEK RD - OS</v>
          </cell>
          <cell r="F539" t="e">
            <v>#N/A</v>
          </cell>
          <cell r="H539" t="str">
            <v xml:space="preserve">One Shot 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E540" t="str">
            <v>70 GEMINI WAY - OS</v>
          </cell>
          <cell r="F540" t="e">
            <v>#N/A</v>
          </cell>
          <cell r="H540" t="str">
            <v xml:space="preserve">One Shot 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E541" t="str">
            <v>1140 CADBORO RD - OS</v>
          </cell>
          <cell r="F541" t="e">
            <v>#N/A</v>
          </cell>
          <cell r="H541" t="str">
            <v xml:space="preserve">One Shot 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2">
          <cell r="E542" t="str">
            <v>1657 CYRVILLE RD - OS</v>
          </cell>
          <cell r="F542" t="e">
            <v>#N/A</v>
          </cell>
          <cell r="H542" t="str">
            <v xml:space="preserve">One Shot 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E543" t="str">
            <v>3180 HAWTHORNE RD - OS</v>
          </cell>
          <cell r="F543" t="e">
            <v>#N/A</v>
          </cell>
          <cell r="H543" t="str">
            <v xml:space="preserve">One Shot 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E544" t="str">
            <v>2146 THURSTON DR - OS</v>
          </cell>
          <cell r="F544" t="e">
            <v>#N/A</v>
          </cell>
          <cell r="H544" t="str">
            <v xml:space="preserve">One Shot 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E545" t="str">
            <v>700 MARCH RD - OS</v>
          </cell>
          <cell r="F545" t="e">
            <v>#N/A</v>
          </cell>
          <cell r="H545" t="str">
            <v xml:space="preserve">One Shot 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E546" t="str">
            <v>888 Meadowlands Dr East - OS</v>
          </cell>
          <cell r="F546" t="e">
            <v>#N/A</v>
          </cell>
          <cell r="H546" t="str">
            <v xml:space="preserve">One Shot 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E547" t="str">
            <v>126 RUE CHURCH - OS</v>
          </cell>
          <cell r="F547" t="e">
            <v>#N/A</v>
          </cell>
          <cell r="H547" t="str">
            <v xml:space="preserve">One Shot 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E548" t="str">
            <v>362 BOUL GREBER - OS</v>
          </cell>
          <cell r="F548" t="e">
            <v>#N/A</v>
          </cell>
          <cell r="H548" t="str">
            <v xml:space="preserve">One Shot 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E549" t="str">
            <v>320 BOUL DES ALLUMETIERES - OS</v>
          </cell>
          <cell r="F549" t="e">
            <v>#N/A</v>
          </cell>
          <cell r="H549" t="str">
            <v xml:space="preserve">One Shot 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E550" t="str">
            <v>52 RUE BANCROFT - OS</v>
          </cell>
          <cell r="F550" t="e">
            <v>#N/A</v>
          </cell>
          <cell r="H550" t="str">
            <v xml:space="preserve">One Shot 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E551" t="str">
            <v>436 BOUL ST RENE- OS</v>
          </cell>
          <cell r="F551" t="e">
            <v>#N/A</v>
          </cell>
          <cell r="H551" t="str">
            <v xml:space="preserve">One Shot 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E552" t="str">
            <v>100 BLVD DU PLATEAU- OS</v>
          </cell>
          <cell r="F552" t="e">
            <v>#N/A</v>
          </cell>
          <cell r="H552" t="str">
            <v xml:space="preserve">One Shot 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E553" t="str">
            <v>3600 RUE F-X TESSIER-VAUDREUIL - OS</v>
          </cell>
          <cell r="F553" t="str">
            <v>9359-6633 Quebec Inc</v>
          </cell>
          <cell r="H553" t="str">
            <v xml:space="preserve">One Shot </v>
          </cell>
          <cell r="I553">
            <v>0</v>
          </cell>
          <cell r="J553">
            <v>51.916666666666664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E554" t="str">
            <v>98 Rue Dollard Des Ormeaux</v>
          </cell>
          <cell r="F554" t="e">
            <v>#N/A</v>
          </cell>
          <cell r="H554" t="str">
            <v xml:space="preserve">One Shot 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E555" t="str">
            <v>541 Church St - OS</v>
          </cell>
          <cell r="F555" t="e">
            <v>#N/A</v>
          </cell>
          <cell r="H555" t="str">
            <v xml:space="preserve">One Shot 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E556" t="str">
            <v>1365 Johnston Rd - OS</v>
          </cell>
          <cell r="F556" t="e">
            <v>#N/A</v>
          </cell>
          <cell r="H556" t="str">
            <v xml:space="preserve">One Shot 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E557" t="str">
            <v>420 Croil Private - OS</v>
          </cell>
          <cell r="F557" t="e">
            <v>#N/A</v>
          </cell>
          <cell r="H557" t="str">
            <v xml:space="preserve">One Shot 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E558" t="str">
            <v>3955 Old Richmond Road (Bells Corner United Church)</v>
          </cell>
          <cell r="F558" t="e">
            <v>#N/A</v>
          </cell>
          <cell r="H558" t="str">
            <v xml:space="preserve">One Shot 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E559" t="str">
            <v>3955 Old richmond (4006)</v>
          </cell>
          <cell r="F559" t="str">
            <v>12433087 Canada Inc</v>
          </cell>
          <cell r="H559" t="str">
            <v>Regular</v>
          </cell>
          <cell r="I559">
            <v>600.83333333333326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E560" t="str">
            <v>120 PARKDALE AVE - OS</v>
          </cell>
          <cell r="F560" t="e">
            <v>#N/A</v>
          </cell>
          <cell r="H560" t="str">
            <v xml:space="preserve">One Shot 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E561" t="str">
            <v>4512 HIGHWAY 512 - OS</v>
          </cell>
          <cell r="F561" t="e">
            <v>#N/A</v>
          </cell>
          <cell r="H561" t="str">
            <v xml:space="preserve">One Shot 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E562" t="str">
            <v>5865 PALMER RD - OS</v>
          </cell>
          <cell r="F562" t="e">
            <v>#N/A</v>
          </cell>
          <cell r="H562" t="str">
            <v xml:space="preserve">One Shot 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E563" t="str">
            <v>PT LT 14 TWSP SOUTH ELMSLEY - OS</v>
          </cell>
          <cell r="F563" t="e">
            <v>#N/A</v>
          </cell>
          <cell r="H563" t="str">
            <v xml:space="preserve">One Shot 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</row>
        <row r="564">
          <cell r="E564" t="str">
            <v>1549 HIGHWAY 41 - OS</v>
          </cell>
          <cell r="F564" t="e">
            <v>#N/A</v>
          </cell>
          <cell r="H564" t="str">
            <v xml:space="preserve">One Shot 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E565" t="str">
            <v>2601 MYERS RD - OS</v>
          </cell>
          <cell r="F565" t="e">
            <v>#N/A</v>
          </cell>
          <cell r="H565" t="str">
            <v xml:space="preserve">One Shot 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E566" t="str">
            <v>193 COUNTY ROAD 36 - OS</v>
          </cell>
          <cell r="F566" t="e">
            <v>#N/A</v>
          </cell>
          <cell r="H566" t="str">
            <v xml:space="preserve">One Shot 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E567" t="str">
            <v>7 MATHEW ST - OS</v>
          </cell>
          <cell r="F567" t="e">
            <v>#N/A</v>
          </cell>
          <cell r="H567" t="str">
            <v xml:space="preserve">One Shot 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E568" t="str">
            <v>16 COUNTY ROAD 1 @ HIGHWAY 29 - OS</v>
          </cell>
          <cell r="F568" t="e">
            <v>#N/A</v>
          </cell>
          <cell r="H568" t="str">
            <v xml:space="preserve">One Shot 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E569" t="str">
            <v>BASS LAKE RD - OS</v>
          </cell>
          <cell r="F569" t="e">
            <v>#N/A</v>
          </cell>
          <cell r="H569" t="str">
            <v xml:space="preserve">One Shot 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E570" t="str">
            <v>RBC 1200 Saint Laurent (Started June 23rd)  TO BE INVOICED IN JULY</v>
          </cell>
          <cell r="F570" t="str">
            <v>9359-6633 Quebec Inc</v>
          </cell>
          <cell r="H570" t="str">
            <v>Regular</v>
          </cell>
          <cell r="I570">
            <v>374.7822222222224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E571" t="str">
            <v>Royalmount Shopping Centre-Day</v>
          </cell>
          <cell r="F571" t="str">
            <v>12433087 Canada Inc</v>
          </cell>
          <cell r="H571" t="str">
            <v>Regular</v>
          </cell>
          <cell r="I571">
            <v>8044.1608333333324</v>
          </cell>
          <cell r="J571">
            <v>0</v>
          </cell>
          <cell r="K571">
            <v>0</v>
          </cell>
          <cell r="L571">
            <v>0</v>
          </cell>
          <cell r="M571">
            <v>3483.96</v>
          </cell>
          <cell r="N571">
            <v>2486</v>
          </cell>
        </row>
        <row r="572">
          <cell r="E572" t="str">
            <v>Royalmount Shopping Centre-Afternoon</v>
          </cell>
          <cell r="F572" t="str">
            <v>12433087 Canada Inc</v>
          </cell>
          <cell r="H572" t="str">
            <v>Regular</v>
          </cell>
          <cell r="I572">
            <v>12211.666666666668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E573" t="str">
            <v>Royalmount Shopping Centre-Night Staff</v>
          </cell>
          <cell r="F573" t="str">
            <v>12433087 Canada Inc</v>
          </cell>
          <cell r="H573" t="str">
            <v>Regular</v>
          </cell>
          <cell r="I573">
            <v>17184.050000000003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E574" t="str">
            <v>Royalmount Shopping Centre - OS Extra</v>
          </cell>
          <cell r="F574" t="e">
            <v>#N/A</v>
          </cell>
          <cell r="H574" t="str">
            <v xml:space="preserve">One Shot 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E575" t="str">
            <v>Royalmount Shopping Centre- Weekend</v>
          </cell>
          <cell r="F575" t="str">
            <v>12433087 Canada Inc</v>
          </cell>
          <cell r="H575" t="str">
            <v>Regular</v>
          </cell>
          <cell r="I575">
            <v>5462.9250000000002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</row>
        <row r="576">
          <cell r="E576" t="str">
            <v>9 Talbot</v>
          </cell>
          <cell r="F576" t="e">
            <v>#N/A</v>
          </cell>
          <cell r="H576" t="str">
            <v xml:space="preserve">One Shot 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E577" t="str">
            <v>2310 St Luis - OS</v>
          </cell>
          <cell r="F577" t="e">
            <v>#N/A</v>
          </cell>
          <cell r="H577" t="str">
            <v xml:space="preserve">One Shot 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</row>
        <row r="578">
          <cell r="E578" t="str">
            <v>576 Blv Cite Des Jeunes</v>
          </cell>
          <cell r="F578" t="str">
            <v>13037622  Canada Inc</v>
          </cell>
          <cell r="H578" t="str">
            <v xml:space="preserve">One Shot </v>
          </cell>
          <cell r="I578">
            <v>135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</row>
        <row r="579">
          <cell r="E579" t="str">
            <v>118 CLARENCE - TAYANTI</v>
          </cell>
          <cell r="F579" t="e">
            <v>#N/A</v>
          </cell>
          <cell r="H579" t="str">
            <v xml:space="preserve">One Shot 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</row>
        <row r="580">
          <cell r="E580" t="str">
            <v>B-001 - 6702 TRANSCANADIENNE-Pointe Claire - OS</v>
          </cell>
          <cell r="F580" t="e">
            <v>#N/A</v>
          </cell>
          <cell r="H580" t="str">
            <v xml:space="preserve">One Shot 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E581" t="str">
            <v>3761 DES SOURCES BLVD- Doillard Des Ormeaux - OS</v>
          </cell>
          <cell r="F581" t="e">
            <v>#N/A</v>
          </cell>
          <cell r="H581" t="str">
            <v xml:space="preserve">One Shot 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</row>
        <row r="582">
          <cell r="E582" t="str">
            <v>3190 BOUL SAINT-CHARLES-Kirkland - OS</v>
          </cell>
          <cell r="F582" t="e">
            <v>#N/A</v>
          </cell>
          <cell r="H582" t="str">
            <v xml:space="preserve">One Shot 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E583" t="str">
            <v>580 AV. SAINT-CHARLES-Vaudreuil - OS</v>
          </cell>
          <cell r="F583" t="e">
            <v>#N/A</v>
          </cell>
          <cell r="H583" t="str">
            <v xml:space="preserve">One Shot 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E584" t="str">
            <v>700 St. Joseph</v>
          </cell>
          <cell r="F584" t="str">
            <v>13037622  Canada Inc</v>
          </cell>
          <cell r="H584" t="str">
            <v xml:space="preserve">One Shot </v>
          </cell>
          <cell r="I584">
            <v>2640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E585" t="str">
            <v>420 blvd. Cite des Jeunes - OS</v>
          </cell>
          <cell r="F585" t="e">
            <v>#N/A</v>
          </cell>
          <cell r="H585" t="str">
            <v xml:space="preserve">One Shot 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E586" t="str">
            <v>MACH-5100 Sherbrooke E (1600) - OS</v>
          </cell>
          <cell r="F586" t="e">
            <v>#N/A</v>
          </cell>
          <cell r="H586" t="str">
            <v>Regular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E587" t="str">
            <v>5219 MITCH OWENS ROAD - OS</v>
          </cell>
          <cell r="F587" t="e">
            <v>#N/A</v>
          </cell>
          <cell r="H587" t="str">
            <v xml:space="preserve">One Shot 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E588" t="str">
            <v>5219 MITCH OWENS ROAD</v>
          </cell>
          <cell r="F588" t="e">
            <v>#N/A</v>
          </cell>
          <cell r="H588" t="str">
            <v>Regular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E589" t="str">
            <v>31 Riverside St , Pembroke</v>
          </cell>
          <cell r="F589" t="str">
            <v xml:space="preserve">9359-6633 Quebec Inc </v>
          </cell>
          <cell r="H589" t="str">
            <v xml:space="preserve">One Shot 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E590" t="str">
            <v>160 George - OS</v>
          </cell>
          <cell r="F590" t="e">
            <v>#N/A</v>
          </cell>
          <cell r="H590" t="str">
            <v xml:space="preserve">One Shot 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E591" t="str">
            <v>160 Elgin St. - OS</v>
          </cell>
          <cell r="F591" t="e">
            <v>#N/A</v>
          </cell>
          <cell r="H591" t="str">
            <v xml:space="preserve">One Shot 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E592" t="str">
            <v>10 CHEMIN DE LA CASERNE - OS</v>
          </cell>
          <cell r="F592" t="e">
            <v>#N/A</v>
          </cell>
          <cell r="H592" t="str">
            <v xml:space="preserve">One Shot 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E593" t="str">
            <v>185 BOUL. DE LA TECHNOLOGIE - OS</v>
          </cell>
          <cell r="F593" t="e">
            <v>#N/A</v>
          </cell>
          <cell r="H593" t="str">
            <v xml:space="preserve">One Shot 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E594" t="str">
            <v>56 FITZROY STREET</v>
          </cell>
          <cell r="F594" t="str">
            <v>9359-6633 Quebec Inc</v>
          </cell>
          <cell r="H594" t="str">
            <v>Regular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1099.1600000000001</v>
          </cell>
        </row>
        <row r="595">
          <cell r="E595" t="str">
            <v>71 BELVEDERE</v>
          </cell>
          <cell r="F595" t="str">
            <v>9359-6633 Quebec Inc</v>
          </cell>
          <cell r="H595" t="str">
            <v>Regular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712.81</v>
          </cell>
        </row>
        <row r="596">
          <cell r="E596" t="str">
            <v>7077-7101 Parc (1400) - OS</v>
          </cell>
          <cell r="F596" t="e">
            <v>#N/A</v>
          </cell>
          <cell r="H596" t="str">
            <v xml:space="preserve">One Shot 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E597" t="str">
            <v>700 Silver Seven, Kanata, Ottawa</v>
          </cell>
          <cell r="F597" t="e">
            <v>#N/A</v>
          </cell>
          <cell r="H597" t="str">
            <v xml:space="preserve">One Shot 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E598" t="str">
            <v xml:space="preserve">200 Lees Av. </v>
          </cell>
          <cell r="F598" t="e">
            <v>#N/A</v>
          </cell>
          <cell r="H598" t="str">
            <v xml:space="preserve">One Shot 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E599" t="str">
            <v>138 KING STREET WEST - OS</v>
          </cell>
          <cell r="F599" t="e">
            <v>#N/A</v>
          </cell>
          <cell r="H599" t="str">
            <v xml:space="preserve">One Shot 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E600" t="str">
            <v>2940 Bank St</v>
          </cell>
          <cell r="F600" t="e">
            <v>#N/A</v>
          </cell>
          <cell r="H600" t="str">
            <v xml:space="preserve">One Shot 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E601" t="str">
            <v>7075 Marconi - OS</v>
          </cell>
          <cell r="F601" t="e">
            <v>#N/A</v>
          </cell>
          <cell r="H601" t="str">
            <v xml:space="preserve">One Shot 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E602" t="str">
            <v>222 Queen Parking- OS</v>
          </cell>
          <cell r="F602" t="e">
            <v>#N/A</v>
          </cell>
          <cell r="H602" t="str">
            <v xml:space="preserve">One Shot 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E603" t="str">
            <v>319 Mc Rae</v>
          </cell>
          <cell r="F603" t="e">
            <v>#N/A</v>
          </cell>
          <cell r="H603" t="str">
            <v xml:space="preserve">One Shot 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E604" t="str">
            <v>401 Smyth Rd</v>
          </cell>
          <cell r="F604" t="e">
            <v>#N/A</v>
          </cell>
          <cell r="H604" t="str">
            <v xml:space="preserve">One Shot 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</row>
        <row r="605">
          <cell r="E605" t="str">
            <v>62 PARKWAY, NOVA SCOTIA-OS</v>
          </cell>
          <cell r="F605" t="e">
            <v>#N/A</v>
          </cell>
          <cell r="H605" t="str">
            <v xml:space="preserve">One Shot 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E606" t="str">
            <v>89 MAIN, NOVA SCOTIA-OS</v>
          </cell>
          <cell r="F606" t="e">
            <v>#N/A</v>
          </cell>
          <cell r="H606" t="str">
            <v xml:space="preserve">One Shot 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E607" t="str">
            <v>347 COW BAY RD, NOVA SCOTIA-OS</v>
          </cell>
          <cell r="F607" t="e">
            <v>#N/A</v>
          </cell>
          <cell r="H607" t="str">
            <v xml:space="preserve">One Shot 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E608" t="str">
            <v>7377B1 CR rd-OS</v>
          </cell>
          <cell r="F608" t="e">
            <v>#N/A</v>
          </cell>
          <cell r="H608" t="str">
            <v xml:space="preserve">One Shot 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E609" t="str">
            <v>21 PETERSON RD-OS</v>
          </cell>
          <cell r="F609" t="e">
            <v>#N/A</v>
          </cell>
          <cell r="H609" t="str">
            <v xml:space="preserve">One Shot 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E610" t="str">
            <v>10613 Maple Ave-OS</v>
          </cell>
          <cell r="F610" t="e">
            <v>#N/A</v>
          </cell>
          <cell r="H610" t="str">
            <v xml:space="preserve">One Shot 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</row>
        <row r="611">
          <cell r="E611" t="str">
            <v>4 CHURCH ST-OS</v>
          </cell>
          <cell r="F611" t="e">
            <v>#N/A</v>
          </cell>
          <cell r="H611" t="str">
            <v xml:space="preserve">One Shot 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</row>
        <row r="612">
          <cell r="E612" t="str">
            <v>321 PERRY ST ST-OS</v>
          </cell>
          <cell r="F612" t="e">
            <v>#N/A</v>
          </cell>
          <cell r="H612" t="str">
            <v xml:space="preserve">One Shot 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E613" t="str">
            <v>5 BOISVENUE DR-OS</v>
          </cell>
          <cell r="F613" t="e">
            <v>#N/A</v>
          </cell>
          <cell r="H613" t="str">
            <v xml:space="preserve">One Shot 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E614" t="str">
            <v>8 DICKINSON DR-OS</v>
          </cell>
          <cell r="F614" t="e">
            <v>#N/A</v>
          </cell>
          <cell r="H614" t="str">
            <v xml:space="preserve">One Shot 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E615" t="str">
            <v>19 BENNETT ST-OS</v>
          </cell>
          <cell r="F615" t="e">
            <v>#N/A</v>
          </cell>
          <cell r="H615" t="str">
            <v xml:space="preserve">One Shot 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E616" t="str">
            <v>376 ST PATRICK ST-OS</v>
          </cell>
          <cell r="F616" t="e">
            <v>#N/A</v>
          </cell>
          <cell r="H616" t="str">
            <v xml:space="preserve">One Shot 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E617" t="str">
            <v>NINE MILES RD PTLT 11 RP-107-OS</v>
          </cell>
          <cell r="F617" t="e">
            <v>#N/A</v>
          </cell>
          <cell r="H617" t="str">
            <v xml:space="preserve">One Shot 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</row>
        <row r="618">
          <cell r="E618" t="str">
            <v>13 FIFTH ST E-OS</v>
          </cell>
          <cell r="F618" t="e">
            <v>#N/A</v>
          </cell>
          <cell r="H618" t="str">
            <v xml:space="preserve">One Shot 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</row>
        <row r="619">
          <cell r="E619" t="str">
            <v>1041 ELM TREE RD-OS</v>
          </cell>
          <cell r="F619" t="e">
            <v>#N/A</v>
          </cell>
          <cell r="H619" t="str">
            <v xml:space="preserve">One Shot 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</row>
        <row r="620">
          <cell r="E620" t="str">
            <v>95 GEORGE ST-OS</v>
          </cell>
          <cell r="F620" t="e">
            <v>#N/A</v>
          </cell>
          <cell r="H620" t="str">
            <v xml:space="preserve">One Shot 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</row>
        <row r="621">
          <cell r="E621" t="str">
            <v>17736 HIGHWAY 41-OS</v>
          </cell>
          <cell r="F621" t="e">
            <v>#N/A</v>
          </cell>
          <cell r="H621" t="str">
            <v xml:space="preserve">One Shot 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</row>
        <row r="622">
          <cell r="E622" t="str">
            <v>56 Pitt St-OS</v>
          </cell>
          <cell r="F622" t="e">
            <v>#N/A</v>
          </cell>
          <cell r="H622" t="str">
            <v xml:space="preserve">One Shot 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</row>
        <row r="623">
          <cell r="E623" t="str">
            <v>633 Main st-OS</v>
          </cell>
          <cell r="F623" t="e">
            <v>#N/A</v>
          </cell>
          <cell r="H623" t="str">
            <v xml:space="preserve">One Shot 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</row>
        <row r="624">
          <cell r="E624" t="str">
            <v>317 Main st-OS</v>
          </cell>
          <cell r="F624" t="str">
            <v>9359-6633 Quebec Inc</v>
          </cell>
          <cell r="H624" t="str">
            <v xml:space="preserve">One Shot </v>
          </cell>
          <cell r="I624">
            <v>18.000000000000007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</row>
        <row r="625">
          <cell r="E625" t="str">
            <v>424 Main st-OS</v>
          </cell>
          <cell r="F625" t="e">
            <v>#N/A</v>
          </cell>
          <cell r="H625" t="str">
            <v xml:space="preserve">One Shot 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</row>
        <row r="626">
          <cell r="E626" t="str">
            <v>354 Main St-OS</v>
          </cell>
          <cell r="F626" t="e">
            <v>#N/A</v>
          </cell>
          <cell r="H626" t="str">
            <v xml:space="preserve">One Shot 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</row>
        <row r="627">
          <cell r="E627" t="str">
            <v>66 Gerrish st-OS</v>
          </cell>
          <cell r="F627" t="e">
            <v>#N/A</v>
          </cell>
          <cell r="H627" t="str">
            <v xml:space="preserve">One Shot 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</row>
        <row r="628">
          <cell r="E628" t="str">
            <v>8791 Warwick st-OS</v>
          </cell>
          <cell r="F628" t="e">
            <v>#N/A</v>
          </cell>
          <cell r="H628" t="str">
            <v xml:space="preserve">One Shot 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E629" t="str">
            <v>270 King St-OS</v>
          </cell>
          <cell r="F629" t="e">
            <v>#N/A</v>
          </cell>
          <cell r="H629" t="str">
            <v xml:space="preserve">One Shot 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E630" t="str">
            <v>963 Central Ave-OS</v>
          </cell>
          <cell r="F630" t="e">
            <v>#N/A</v>
          </cell>
          <cell r="H630" t="str">
            <v xml:space="preserve">One Shot 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</row>
        <row r="631">
          <cell r="E631" t="str">
            <v>270 King St</v>
          </cell>
          <cell r="F631" t="e">
            <v>#N/A</v>
          </cell>
          <cell r="H631" t="str">
            <v xml:space="preserve">One Shot 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</row>
        <row r="632">
          <cell r="E632" t="str">
            <v>1687 Water st-OS</v>
          </cell>
          <cell r="F632" t="e">
            <v>#N/A</v>
          </cell>
          <cell r="H632" t="str">
            <v xml:space="preserve">One Shot 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</row>
        <row r="633">
          <cell r="E633" t="str">
            <v>13 Andrew St - OS</v>
          </cell>
          <cell r="F633" t="e">
            <v>#N/A</v>
          </cell>
          <cell r="H633" t="str">
            <v xml:space="preserve">One Shot 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E634" t="str">
            <v>532 Main St N-OS</v>
          </cell>
          <cell r="F634" t="e">
            <v>#N/A</v>
          </cell>
          <cell r="H634" t="str">
            <v xml:space="preserve">One Shot 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</row>
        <row r="635">
          <cell r="E635" t="str">
            <v>393 Victoria St-OS</v>
          </cell>
          <cell r="F635" t="e">
            <v>#N/A</v>
          </cell>
          <cell r="H635" t="str">
            <v xml:space="preserve">One Shot 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</row>
        <row r="636">
          <cell r="E636" t="str">
            <v>105 Grafton st-OS</v>
          </cell>
          <cell r="F636" t="e">
            <v>#N/A</v>
          </cell>
          <cell r="H636" t="str">
            <v xml:space="preserve">One Shot 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E637" t="str">
            <v>684 University Ave-OS</v>
          </cell>
          <cell r="F637" t="e">
            <v>#N/A</v>
          </cell>
          <cell r="H637" t="str">
            <v xml:space="preserve">One Shot 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</row>
        <row r="638">
          <cell r="E638" t="str">
            <v>29 Second St W-OS</v>
          </cell>
          <cell r="F638" t="e">
            <v>#N/A</v>
          </cell>
          <cell r="H638" t="str">
            <v xml:space="preserve">One Shot 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</row>
        <row r="639">
          <cell r="E639" t="str">
            <v>2620 Chamberland St</v>
          </cell>
          <cell r="F639" t="e">
            <v>#N/A</v>
          </cell>
          <cell r="H639" t="str">
            <v>Regular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E640" t="str">
            <v>1 NINTH STREET EAST</v>
          </cell>
          <cell r="F640" t="e">
            <v>#N/A</v>
          </cell>
          <cell r="H640" t="str">
            <v>Regular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</row>
        <row r="641">
          <cell r="E641" t="str">
            <v>102 - 61 NINTH STREET</v>
          </cell>
          <cell r="F641" t="e">
            <v>#N/A</v>
          </cell>
          <cell r="H641" t="str">
            <v>Regular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E642" t="str">
            <v>51 CHESTERVILLE MAIN ST NORTH</v>
          </cell>
          <cell r="F642" t="e">
            <v>#N/A</v>
          </cell>
          <cell r="H642" t="str">
            <v>Regular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E643" t="str">
            <v>258 MAIN STREET EAST</v>
          </cell>
          <cell r="F643" t="e">
            <v>#N/A</v>
          </cell>
          <cell r="H643" t="str">
            <v>Regular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E644" t="str">
            <v>5557, Hazeldean Road</v>
          </cell>
          <cell r="F644" t="str">
            <v>9359-6633 Quebec Inc</v>
          </cell>
          <cell r="H644" t="str">
            <v>Regular</v>
          </cell>
          <cell r="I644">
            <v>380.80652777777777</v>
          </cell>
          <cell r="J644">
            <v>239.8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</row>
        <row r="645">
          <cell r="E645" t="str">
            <v>1091 St. Laurent Blvd - Unit #001A</v>
          </cell>
          <cell r="F645" t="str">
            <v>9359-6633 Quebec Inc</v>
          </cell>
          <cell r="H645" t="str">
            <v>Regular</v>
          </cell>
          <cell r="I645">
            <v>349.88800000000066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E646" t="str">
            <v>90 boul. Laflèche</v>
          </cell>
          <cell r="F646" t="str">
            <v>9359-6633 Quebec Inc</v>
          </cell>
          <cell r="H646" t="str">
            <v>Regular</v>
          </cell>
          <cell r="I646">
            <v>600.04266666666751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E647" t="str">
            <v>1861, Robertson Road</v>
          </cell>
          <cell r="F647" t="str">
            <v>9359-6633 Quebec Inc</v>
          </cell>
          <cell r="H647" t="str">
            <v>Regular</v>
          </cell>
          <cell r="I647">
            <v>383.51833333333332</v>
          </cell>
          <cell r="J647">
            <v>241.65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</row>
        <row r="648">
          <cell r="E648" t="str">
            <v>5929 boul. Jeanne d'Arc</v>
          </cell>
          <cell r="F648" t="str">
            <v>9359-6633 Quebec Inc</v>
          </cell>
          <cell r="H648" t="str">
            <v>Regular</v>
          </cell>
          <cell r="I648">
            <v>299.9680000000007</v>
          </cell>
          <cell r="J648">
            <v>12.89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E649" t="str">
            <v>232 rue Rideau</v>
          </cell>
          <cell r="F649" t="str">
            <v>9359-6633 Quebec Inc</v>
          </cell>
          <cell r="H649" t="str">
            <v>Regular</v>
          </cell>
          <cell r="I649">
            <v>349.92000000000053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E650" t="str">
            <v>68, boul. Greber ATM</v>
          </cell>
          <cell r="F650" t="str">
            <v>9359-6633 Quebec Inc</v>
          </cell>
          <cell r="H650" t="str">
            <v>Regular</v>
          </cell>
          <cell r="I650">
            <v>330.00000000000057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E651" t="str">
            <v>455 Montée Paiement</v>
          </cell>
          <cell r="F651" t="str">
            <v>9359-6633 Quebec Inc</v>
          </cell>
          <cell r="H651" t="str">
            <v>Regular</v>
          </cell>
          <cell r="I651">
            <v>500.07466666666755</v>
          </cell>
          <cell r="J651">
            <v>260.12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E652" t="str">
            <v>920, boul. St-Joseph Office</v>
          </cell>
          <cell r="F652" t="str">
            <v>9359-6633 Quebec Inc</v>
          </cell>
          <cell r="H652" t="str">
            <v>Regular</v>
          </cell>
          <cell r="I652">
            <v>35.000000000000007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E653" t="str">
            <v>207, Mont-Bleu ATM</v>
          </cell>
          <cell r="F653" t="str">
            <v>9359-6633 Quebec Inc</v>
          </cell>
          <cell r="H653" t="str">
            <v>Regular</v>
          </cell>
          <cell r="I653">
            <v>330.00000000000057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E654" t="str">
            <v>7500 Boulevard Les Galeries d'Anjou, Suite 200 ATM</v>
          </cell>
          <cell r="F654" t="str">
            <v>9359-6633 Quebec Inc</v>
          </cell>
          <cell r="H654" t="str">
            <v>Regular</v>
          </cell>
          <cell r="I654">
            <v>330.00000000000057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</row>
        <row r="655">
          <cell r="E655" t="str">
            <v>6100, du Boisé ATM</v>
          </cell>
          <cell r="F655" t="str">
            <v>9359-6633 Quebec Inc</v>
          </cell>
          <cell r="H655" t="str">
            <v>Regular</v>
          </cell>
          <cell r="I655">
            <v>330.00000000000057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E656" t="str">
            <v>MACH-800 Palladium - 1001298527</v>
          </cell>
          <cell r="F656" t="str">
            <v>1001298527 Ontario Inc</v>
          </cell>
          <cell r="H656" t="str">
            <v>Regular</v>
          </cell>
          <cell r="I656">
            <v>0</v>
          </cell>
          <cell r="J656">
            <v>9.5500000000000007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E657" t="str">
            <v>50 Rideau Parking - 1001298527</v>
          </cell>
          <cell r="F657" t="str">
            <v>1001298527 Ontario Inc</v>
          </cell>
          <cell r="H657" t="str">
            <v>Regular</v>
          </cell>
          <cell r="I657">
            <v>7675</v>
          </cell>
          <cell r="J657">
            <v>7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E658" t="str">
            <v>Royalmount Mall - RENNAI STORE</v>
          </cell>
          <cell r="F658" t="e">
            <v>#N/A</v>
          </cell>
          <cell r="H658" t="str">
            <v>Regular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E659" t="str">
            <v>256, Papineau - OS</v>
          </cell>
          <cell r="F659" t="e">
            <v>#N/A</v>
          </cell>
          <cell r="H659" t="str">
            <v xml:space="preserve">One Shot 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E660" t="str">
            <v>110-20 Principale - OS</v>
          </cell>
          <cell r="F660" t="e">
            <v>#N/A</v>
          </cell>
          <cell r="H660" t="str">
            <v xml:space="preserve">One Shot 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E661" t="str">
            <v>810 PRINCE ST - OS</v>
          </cell>
          <cell r="F661" t="e">
            <v>#N/A</v>
          </cell>
          <cell r="H661" t="str">
            <v xml:space="preserve">One Shot 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E662" t="str">
            <v>131 WATER ST. ,CAMPBELLTON - OS</v>
          </cell>
          <cell r="F662" t="e">
            <v>#N/A</v>
          </cell>
          <cell r="H662" t="str">
            <v xml:space="preserve">One Shot 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E663" t="str">
            <v>4566 ROUTE 134</v>
          </cell>
          <cell r="F663" t="e">
            <v>#N/A</v>
          </cell>
          <cell r="H663" t="str">
            <v>Regular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E664" t="str">
            <v>689 AVENUE DES PIONNIERS</v>
          </cell>
          <cell r="F664" t="e">
            <v>#N/A</v>
          </cell>
          <cell r="H664" t="str">
            <v>Regular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</row>
        <row r="665">
          <cell r="E665" t="str">
            <v>270 KING AVE</v>
          </cell>
          <cell r="F665" t="e">
            <v>#N/A</v>
          </cell>
          <cell r="H665" t="str">
            <v>Regular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</row>
        <row r="666">
          <cell r="E666" t="str">
            <v>1595 SAINT PETER AVE</v>
          </cell>
          <cell r="F666" t="e">
            <v>#N/A</v>
          </cell>
          <cell r="H666" t="str">
            <v>Regular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</row>
        <row r="667">
          <cell r="E667" t="str">
            <v>928 RUE PRINCIPALE / HWY 134</v>
          </cell>
          <cell r="F667" t="e">
            <v>#N/A</v>
          </cell>
          <cell r="H667" t="str">
            <v>Regular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E668" t="str">
            <v>13 ANDREW ST</v>
          </cell>
          <cell r="F668" t="e">
            <v>#N/A</v>
          </cell>
          <cell r="H668" t="str">
            <v>Regular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E669" t="str">
            <v>109 SAINT PIERRE WEST BLVD</v>
          </cell>
          <cell r="F669" t="e">
            <v>#N/A</v>
          </cell>
          <cell r="H669" t="str">
            <v>Regular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E670" t="str">
            <v>1687 WATER ST</v>
          </cell>
          <cell r="F670" t="e">
            <v>#N/A</v>
          </cell>
          <cell r="H670" t="str">
            <v>Regular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E671" t="str">
            <v>393 VICTORIA ST</v>
          </cell>
          <cell r="F671" t="e">
            <v>#N/A</v>
          </cell>
          <cell r="H671" t="str">
            <v>Regular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E672" t="str">
            <v>75 RENNIE RD</v>
          </cell>
          <cell r="F672" t="e">
            <v>#N/A</v>
          </cell>
          <cell r="H672" t="str">
            <v>Regular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E673" t="str">
            <v>70 AVENUE DU PORTAGE</v>
          </cell>
          <cell r="F673" t="e">
            <v>#N/A</v>
          </cell>
          <cell r="H673" t="str">
            <v>Regular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E674" t="str">
            <v>3931 MAIN ST</v>
          </cell>
          <cell r="F674" t="e">
            <v>#N/A</v>
          </cell>
          <cell r="H674" t="str">
            <v>Regular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E675" t="str">
            <v>59 RUE DU PECHEUR  S</v>
          </cell>
          <cell r="F675" t="e">
            <v>#N/A</v>
          </cell>
          <cell r="H675" t="str">
            <v>Regular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E676" t="str">
            <v>622 RUE PRINCIPALE</v>
          </cell>
          <cell r="F676" t="e">
            <v>#N/A</v>
          </cell>
          <cell r="H676" t="str">
            <v>Regular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E677" t="str">
            <v>1343 RUE DES FONDATEURS</v>
          </cell>
          <cell r="F677" t="e">
            <v>#N/A</v>
          </cell>
          <cell r="H677" t="str">
            <v>Regular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E678" t="str">
            <v>1068 ROUTE 134</v>
          </cell>
          <cell r="F678" t="e">
            <v>#N/A</v>
          </cell>
          <cell r="H678" t="str">
            <v>Regular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E679" t="str">
            <v>1771 HWY 425 (1604 ROUTE 425)</v>
          </cell>
          <cell r="F679" t="e">
            <v>#N/A</v>
          </cell>
          <cell r="H679" t="str">
            <v>Regular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E680" t="str">
            <v>156 AVENUE HOTEL DE VILLE</v>
          </cell>
          <cell r="F680" t="e">
            <v>#N/A</v>
          </cell>
          <cell r="H680" t="str">
            <v>Regular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E681" t="str">
            <v>120 PELHAM STREET</v>
          </cell>
          <cell r="F681" t="str">
            <v>9359-6633 Quebec Inc</v>
          </cell>
          <cell r="H681" t="str">
            <v>Regular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339.49</v>
          </cell>
        </row>
        <row r="682">
          <cell r="E682" t="str">
            <v>18 GLEN ALLAN DRIVE</v>
          </cell>
          <cell r="F682" t="str">
            <v>9359-6633 Quebec Inc</v>
          </cell>
          <cell r="H682" t="str">
            <v>Regular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377.49</v>
          </cell>
        </row>
        <row r="683">
          <cell r="E683" t="str">
            <v>26 ABERDEEN STREET</v>
          </cell>
          <cell r="F683" t="str">
            <v>9359-6633 Quebec Inc</v>
          </cell>
          <cell r="H683" t="str">
            <v>Regular</v>
          </cell>
          <cell r="I683">
            <v>479.99999999999983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E684" t="str">
            <v>562 MAIN STREET</v>
          </cell>
          <cell r="F684" t="str">
            <v>9359-6633 Quebec Inc</v>
          </cell>
          <cell r="H684" t="str">
            <v>Regular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399.08</v>
          </cell>
        </row>
        <row r="685">
          <cell r="E685" t="str">
            <v>P003 - 684 UNIVERSITY AVENUE</v>
          </cell>
          <cell r="F685" t="str">
            <v>9359-6633 Quebec Inc</v>
          </cell>
          <cell r="H685" t="str">
            <v>Regular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550</v>
          </cell>
        </row>
        <row r="686">
          <cell r="E686" t="str">
            <v>105 - 107 GRAFTON STREET</v>
          </cell>
          <cell r="F686" t="str">
            <v>9359-6633 Quebec Inc</v>
          </cell>
          <cell r="H686" t="str">
            <v>Regular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212.5</v>
          </cell>
        </row>
        <row r="687">
          <cell r="E687" t="str">
            <v>4 KING ST.</v>
          </cell>
          <cell r="F687" t="str">
            <v>9359-6633 Quebec Inc</v>
          </cell>
          <cell r="H687" t="str">
            <v>Regular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283.33999999999997</v>
          </cell>
        </row>
        <row r="688">
          <cell r="E688" t="str">
            <v>10 WEBSTER ST.</v>
          </cell>
          <cell r="F688" t="str">
            <v>9359-6633 Quebec Inc</v>
          </cell>
          <cell r="H688" t="str">
            <v>Regular</v>
          </cell>
          <cell r="I688">
            <v>479.99999999999983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E689" t="str">
            <v>450 LAHAVE ST.</v>
          </cell>
          <cell r="F689" t="e">
            <v>#N/A</v>
          </cell>
          <cell r="H689" t="str">
            <v>Regular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E690" t="str">
            <v>633 MAIN STREET</v>
          </cell>
          <cell r="F690" t="str">
            <v>9359-6633 Quebec Inc</v>
          </cell>
          <cell r="H690" t="str">
            <v>Regular</v>
          </cell>
          <cell r="I690">
            <v>1350.4466666666663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E691" t="str">
            <v>424 MAIN STREET</v>
          </cell>
          <cell r="F691" t="str">
            <v>9359-6633 Quebec Inc</v>
          </cell>
          <cell r="H691" t="str">
            <v>Regular</v>
          </cell>
          <cell r="I691">
            <v>563.20000000000027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E692" t="str">
            <v>354 MAIN STREET</v>
          </cell>
          <cell r="F692" t="str">
            <v>9359-6633 Quebec Inc</v>
          </cell>
          <cell r="H692" t="str">
            <v>Regular</v>
          </cell>
          <cell r="I692">
            <v>600.06222222222266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E693" t="str">
            <v>317 MAIN ST.</v>
          </cell>
          <cell r="F693" t="str">
            <v>9359-6633 Quebec Inc</v>
          </cell>
          <cell r="H693" t="str">
            <v>Regular</v>
          </cell>
          <cell r="I693">
            <v>600.06222222222266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E694" t="str">
            <v>66 GERRISH ST.</v>
          </cell>
          <cell r="F694" t="str">
            <v>9359-6633 Quebec Inc</v>
          </cell>
          <cell r="H694" t="str">
            <v>Regular</v>
          </cell>
          <cell r="I694">
            <v>374.00000000000063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E695" t="str">
            <v>8791 WARWICK ST. (INCLUDES 1 ABM UPSTAIRS)</v>
          </cell>
          <cell r="F695" t="str">
            <v>9359-6633 Quebec Inc</v>
          </cell>
          <cell r="H695" t="str">
            <v>Regular</v>
          </cell>
          <cell r="I695">
            <v>352.00000000000063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E696" t="str">
            <v>963 CENTRAL AVE</v>
          </cell>
          <cell r="F696" t="str">
            <v>9359-6633 Quebec Inc</v>
          </cell>
          <cell r="H696" t="str">
            <v>Regular</v>
          </cell>
          <cell r="I696">
            <v>500.00000000000091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E697" t="str">
            <v>532 MAIN ST. N.</v>
          </cell>
          <cell r="F697" t="e">
            <v>#N/A</v>
          </cell>
          <cell r="H697" t="str">
            <v>Regular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E698" t="str">
            <v>131 WATER ST.</v>
          </cell>
          <cell r="F698" t="str">
            <v>9359-6633 Quebec Inc</v>
          </cell>
          <cell r="H698" t="str">
            <v>Regular</v>
          </cell>
          <cell r="I698">
            <v>400.10666666666691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E699" t="str">
            <v>Janitorial Service Royalmount Mall - Delysee Café (1272)</v>
          </cell>
          <cell r="F699" t="e">
            <v>#N/A</v>
          </cell>
          <cell r="H699" t="str">
            <v>Regular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E700" t="str">
            <v>Royalmount Mall - lavage des serviettes des vestiaires de la salle d'employé (2x semaine)</v>
          </cell>
          <cell r="F700" t="e">
            <v>#N/A</v>
          </cell>
          <cell r="H700" t="str">
            <v>Regular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E701" t="str">
            <v>Royalmount Mall - Service de lavage des serviettes au 8500 Decarie</v>
          </cell>
          <cell r="F701" t="e">
            <v>#N/A</v>
          </cell>
          <cell r="H701" t="str">
            <v>Regular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E702" t="str">
            <v>Royalmount Mall - Service de lavage des serviettes au 8500 Decarie</v>
          </cell>
          <cell r="F702" t="e">
            <v>#N/A</v>
          </cell>
          <cell r="H702" t="str">
            <v>Regular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E703" t="str">
            <v>Sobeys 5150 Innes Rd</v>
          </cell>
          <cell r="F703" t="e">
            <v>#N/A</v>
          </cell>
          <cell r="H703" t="str">
            <v xml:space="preserve">One Shot 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E704" t="str">
            <v xml:space="preserve"> Sobeys 2276 Tenth Line Rd</v>
          </cell>
          <cell r="F704" t="e">
            <v>#N/A</v>
          </cell>
          <cell r="H704" t="str">
            <v xml:space="preserve">One Shot 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E705" t="str">
            <v>1622 DEEP RIVER- 6 RIDGE ROAD - OS</v>
          </cell>
          <cell r="F705" t="e">
            <v>#N/A</v>
          </cell>
          <cell r="H705" t="str">
            <v xml:space="preserve">One Shot 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E706" t="str">
            <v>187 FORBES ST, NOVA SCOTIA - OS</v>
          </cell>
          <cell r="F706" t="e">
            <v>#N/A</v>
          </cell>
          <cell r="H706" t="str">
            <v xml:space="preserve">One Shot 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E707" t="str">
            <v>7 MAIN - OS</v>
          </cell>
          <cell r="F707" t="e">
            <v>#N/A</v>
          </cell>
          <cell r="H707" t="str">
            <v xml:space="preserve">One Shot 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E708" t="str">
            <v>B00642, 142 DUFFERIN ST.</v>
          </cell>
          <cell r="F708" t="str">
            <v>9359-6633 Quebec Inc</v>
          </cell>
          <cell r="H708" t="str">
            <v>Regular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26.4</v>
          </cell>
        </row>
        <row r="709">
          <cell r="E709" t="str">
            <v>B00650, 32 GEORGETOWN RD</v>
          </cell>
          <cell r="F709" t="str">
            <v>9359-6633 Quebec Inc</v>
          </cell>
          <cell r="H709" t="str">
            <v>Regular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58.03</v>
          </cell>
        </row>
        <row r="710">
          <cell r="E710" t="str">
            <v>B00654, 4272 HOPEDALE RD</v>
          </cell>
          <cell r="F710" t="str">
            <v>9359-6633 Quebec Inc</v>
          </cell>
          <cell r="H710" t="str">
            <v>Regular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21.76</v>
          </cell>
        </row>
        <row r="711">
          <cell r="E711" t="str">
            <v>B00655, 34 GARDEN DR</v>
          </cell>
          <cell r="F711" t="str">
            <v>9359-6633 Quebec Inc</v>
          </cell>
          <cell r="H711" t="str">
            <v>Regular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22.58</v>
          </cell>
        </row>
        <row r="712">
          <cell r="E712" t="str">
            <v>B00656, 121 SACKVILLE ST</v>
          </cell>
          <cell r="F712" t="str">
            <v>9359-6633 Quebec Inc</v>
          </cell>
          <cell r="H712" t="str">
            <v>Regular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32.81</v>
          </cell>
        </row>
        <row r="713">
          <cell r="E713" t="str">
            <v>B00658, 401 MOUNT STEWART RD</v>
          </cell>
          <cell r="F713" t="str">
            <v>9359-6633 Quebec Inc</v>
          </cell>
          <cell r="H713" t="str">
            <v>Regular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17.850000000000001</v>
          </cell>
        </row>
        <row r="714">
          <cell r="E714" t="str">
            <v>B00660, 727 CLYDE RIVER RD</v>
          </cell>
          <cell r="F714" t="str">
            <v>9359-6633 Quebec Inc</v>
          </cell>
          <cell r="H714" t="str">
            <v>Regular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28.24</v>
          </cell>
        </row>
        <row r="715">
          <cell r="E715" t="str">
            <v>B00662, 10 PATE GARDEN DR</v>
          </cell>
          <cell r="F715" t="str">
            <v>9359-6633 Quebec Inc</v>
          </cell>
          <cell r="H715" t="str">
            <v>Regular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35.15</v>
          </cell>
        </row>
        <row r="716">
          <cell r="E716" t="str">
            <v>B00665, 9 STERNS AVE</v>
          </cell>
          <cell r="F716" t="str">
            <v>9359-6633 Quebec Inc</v>
          </cell>
          <cell r="H716" t="str">
            <v>Regular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39.369999999999997</v>
          </cell>
        </row>
        <row r="717">
          <cell r="E717" t="str">
            <v>B00668, 304 WATER ST</v>
          </cell>
          <cell r="F717" t="str">
            <v>9359-6633 Quebec Inc</v>
          </cell>
          <cell r="H717" t="str">
            <v>Regular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708.58</v>
          </cell>
        </row>
        <row r="718">
          <cell r="E718" t="str">
            <v>B00670, 5860 MURRAY HARBOUR RD</v>
          </cell>
          <cell r="F718" t="str">
            <v>9359-6633 Quebec Inc</v>
          </cell>
          <cell r="H718" t="str">
            <v>Regular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21.33</v>
          </cell>
        </row>
        <row r="719">
          <cell r="E719" t="str">
            <v>B00672, 481 MALPEQUE RD</v>
          </cell>
          <cell r="F719" t="str">
            <v>9359-6633 Quebec Inc</v>
          </cell>
          <cell r="H719" t="str">
            <v>Regular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11.13</v>
          </cell>
        </row>
        <row r="720">
          <cell r="E720" t="str">
            <v>135 route 148 Unit 3</v>
          </cell>
          <cell r="F720" t="e">
            <v>#N/A</v>
          </cell>
          <cell r="H720" t="str">
            <v>Regular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E721" t="str">
            <v>Royalmount Shopping Centre- Parking</v>
          </cell>
          <cell r="F721" t="str">
            <v>12433087 Canada Inc</v>
          </cell>
          <cell r="H721" t="str">
            <v>Regular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E722" t="str">
            <v>1040 RUE DRUMMOND - OS</v>
          </cell>
          <cell r="F722" t="str">
            <v>9359-6633 Quebec Inc</v>
          </cell>
          <cell r="H722" t="str">
            <v xml:space="preserve">One Shot </v>
          </cell>
          <cell r="I722">
            <v>75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E723" t="str">
            <v>3850 BOUL SAINT-LAURENT - OS</v>
          </cell>
          <cell r="F723" t="str">
            <v>9359-6633 Quebec Inc</v>
          </cell>
          <cell r="H723" t="str">
            <v xml:space="preserve">One Shot </v>
          </cell>
          <cell r="I723">
            <v>190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551</v>
          </cell>
        </row>
        <row r="724">
          <cell r="E724" t="str">
            <v>10650 BOUL PIE-IX - OS</v>
          </cell>
          <cell r="F724" t="e">
            <v>#N/A</v>
          </cell>
          <cell r="H724" t="str">
            <v xml:space="preserve">One Shot 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E725" t="str">
            <v>415 West Hunt Club - OS</v>
          </cell>
          <cell r="F725" t="e">
            <v>#N/A</v>
          </cell>
          <cell r="H725" t="str">
            <v xml:space="preserve">One Shot 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E726" t="str">
            <v>297 Pembroke st - OS</v>
          </cell>
          <cell r="F726" t="str">
            <v xml:space="preserve">9359-6633 Quebec Inc </v>
          </cell>
          <cell r="H726" t="str">
            <v xml:space="preserve">One Shot 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E727" t="str">
            <v xml:space="preserve">3785 RUE ONTARIO E  </v>
          </cell>
          <cell r="F727" t="e">
            <v>#N/A</v>
          </cell>
          <cell r="H727" t="str">
            <v xml:space="preserve">One Shot 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E728" t="str">
            <v>15 CHEMIN PRINCIPAL</v>
          </cell>
          <cell r="F728" t="e">
            <v>#N/A</v>
          </cell>
          <cell r="H728" t="str">
            <v xml:space="preserve">One Shot 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E729" t="str">
            <v xml:space="preserve">2800 BOULEVARD Saint charles KIRKLAND QC </v>
          </cell>
          <cell r="F729" t="str">
            <v>9359-6633 Quebec Inc</v>
          </cell>
          <cell r="H729" t="str">
            <v>Regular</v>
          </cell>
          <cell r="I729">
            <v>452.43666666666729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72.673868138087144</v>
          </cell>
        </row>
        <row r="730">
          <cell r="E730" t="str">
            <v xml:space="preserve">16766, Route Transcanadienne, suite #503 KIRKLAND QC </v>
          </cell>
          <cell r="F730" t="str">
            <v>9359-6633 Quebec Inc</v>
          </cell>
          <cell r="H730" t="str">
            <v>Regular</v>
          </cell>
          <cell r="I730">
            <v>612.24533333333341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114.75013186191282</v>
          </cell>
        </row>
        <row r="731">
          <cell r="E731" t="str">
            <v>5070 Av. du Parc, Montréal, QC H2V 4G1</v>
          </cell>
          <cell r="F731" t="str">
            <v>9359-6633 Quebec Inc</v>
          </cell>
          <cell r="H731" t="str">
            <v>Regular</v>
          </cell>
          <cell r="I731">
            <v>436.89066666666702</v>
          </cell>
          <cell r="J731">
            <v>178.5</v>
          </cell>
          <cell r="K731">
            <v>0</v>
          </cell>
          <cell r="L731">
            <v>0</v>
          </cell>
          <cell r="M731">
            <v>0</v>
          </cell>
          <cell r="N731">
            <v>136.02186609220206</v>
          </cell>
        </row>
        <row r="732">
          <cell r="E732" t="str">
            <v>1040 Drummond St, Montreal, QC H3B 0G5</v>
          </cell>
          <cell r="F732" t="str">
            <v>9359-6633 Quebec Inc</v>
          </cell>
          <cell r="H732" t="str">
            <v>Regular</v>
          </cell>
          <cell r="I732">
            <v>320.30044444444428</v>
          </cell>
          <cell r="J732">
            <v>178.5</v>
          </cell>
          <cell r="K732">
            <v>0</v>
          </cell>
          <cell r="L732">
            <v>0</v>
          </cell>
          <cell r="M732">
            <v>0</v>
          </cell>
          <cell r="N732">
            <v>99.699629430265745</v>
          </cell>
        </row>
        <row r="733">
          <cell r="E733" t="str">
            <v xml:space="preserve">895 Rue De la Gauchetière O, Montréal, QC H3B 2M4 </v>
          </cell>
          <cell r="F733" t="str">
            <v>9359-6633 Quebec Inc</v>
          </cell>
          <cell r="H733" t="str">
            <v>Regular</v>
          </cell>
          <cell r="I733">
            <v>493.13066666666725</v>
          </cell>
          <cell r="J733">
            <v>178.5</v>
          </cell>
          <cell r="K733">
            <v>0</v>
          </cell>
          <cell r="L733">
            <v>0</v>
          </cell>
          <cell r="M733">
            <v>0</v>
          </cell>
          <cell r="N733">
            <v>99.812622343620035</v>
          </cell>
        </row>
        <row r="734">
          <cell r="E734" t="str">
            <v>105 Rue Sainte-Catherine O, Montréal, QC H2X 1Z8</v>
          </cell>
          <cell r="F734" t="str">
            <v>9359-6633 Quebec Inc</v>
          </cell>
          <cell r="H734" t="str">
            <v>Regular</v>
          </cell>
          <cell r="I734">
            <v>397.52533333333372</v>
          </cell>
          <cell r="J734">
            <v>178.5</v>
          </cell>
          <cell r="K734">
            <v>0</v>
          </cell>
          <cell r="L734">
            <v>0</v>
          </cell>
          <cell r="M734">
            <v>0</v>
          </cell>
          <cell r="N734">
            <v>1300</v>
          </cell>
        </row>
        <row r="735">
          <cell r="E735" t="str">
            <v>3850 Boul. Saint-Laurent, Montréal, QC H2W 1X6</v>
          </cell>
          <cell r="F735" t="str">
            <v>9359-6633 Quebec Inc</v>
          </cell>
          <cell r="H735" t="str">
            <v>Regular</v>
          </cell>
          <cell r="I735">
            <v>554.34133333333352</v>
          </cell>
          <cell r="J735">
            <v>178.5</v>
          </cell>
          <cell r="K735">
            <v>0</v>
          </cell>
          <cell r="L735">
            <v>0</v>
          </cell>
          <cell r="M735">
            <v>0</v>
          </cell>
          <cell r="N735">
            <v>172.59002850673303</v>
          </cell>
        </row>
        <row r="736">
          <cell r="E736" t="str">
            <v xml:space="preserve">3785 Rue Ontario E, Montreal, QC H1W 1S3 </v>
          </cell>
          <cell r="F736" t="str">
            <v>9359-6633 Quebec Inc</v>
          </cell>
          <cell r="H736" t="str">
            <v>Regular</v>
          </cell>
          <cell r="I736">
            <v>619.99111111111154</v>
          </cell>
          <cell r="J736">
            <v>178.5</v>
          </cell>
          <cell r="K736">
            <v>0</v>
          </cell>
          <cell r="L736">
            <v>0</v>
          </cell>
          <cell r="M736">
            <v>0</v>
          </cell>
          <cell r="N736">
            <v>115.182981880786</v>
          </cell>
        </row>
        <row r="737">
          <cell r="E737" t="str">
            <v>5705 Rue Jean-Talon E, Montréal, QC H1S 0C7</v>
          </cell>
          <cell r="F737" t="str">
            <v>9359-6633 Quebec Inc</v>
          </cell>
          <cell r="H737" t="str">
            <v>Regular</v>
          </cell>
          <cell r="I737">
            <v>318.47200000000021</v>
          </cell>
          <cell r="J737">
            <v>178.5</v>
          </cell>
          <cell r="K737">
            <v>0</v>
          </cell>
          <cell r="L737">
            <v>0</v>
          </cell>
          <cell r="M737">
            <v>0</v>
          </cell>
          <cell r="N737">
            <v>136.68966101932097</v>
          </cell>
        </row>
        <row r="738">
          <cell r="E738" t="str">
            <v xml:space="preserve">5880 R. Sherbrooke E, Montréal, QC H1N 1B5 </v>
          </cell>
          <cell r="F738" t="str">
            <v>9359-6633 Quebec Inc</v>
          </cell>
          <cell r="H738" t="str">
            <v>Regular</v>
          </cell>
          <cell r="I738">
            <v>287.06577777777864</v>
          </cell>
          <cell r="J738">
            <v>178.5</v>
          </cell>
          <cell r="K738">
            <v>0</v>
          </cell>
          <cell r="L738">
            <v>0</v>
          </cell>
          <cell r="M738">
            <v>0</v>
          </cell>
          <cell r="N738">
            <v>123.24246745468278</v>
          </cell>
        </row>
        <row r="739">
          <cell r="E739" t="str">
            <v xml:space="preserve">9105 R. Sherbrooke E, Montréal, QC H1L 1E4 </v>
          </cell>
          <cell r="F739" t="str">
            <v>9359-6633 Quebec Inc</v>
          </cell>
          <cell r="H739" t="str">
            <v>Regular</v>
          </cell>
          <cell r="I739">
            <v>479.5120000000004</v>
          </cell>
          <cell r="J739">
            <v>178.5</v>
          </cell>
          <cell r="K739">
            <v>0</v>
          </cell>
          <cell r="L739">
            <v>0</v>
          </cell>
          <cell r="M739">
            <v>0</v>
          </cell>
          <cell r="N739">
            <v>190.71387152599604</v>
          </cell>
        </row>
        <row r="740">
          <cell r="E740" t="str">
            <v xml:space="preserve">8200 Av. de Châtillon, Anjou, QC H1K 1P2 </v>
          </cell>
          <cell r="F740" t="str">
            <v>9359-6633 Quebec Inc</v>
          </cell>
          <cell r="H740" t="str">
            <v>Regular</v>
          </cell>
          <cell r="I740">
            <v>399.03111111111195</v>
          </cell>
          <cell r="J740">
            <v>178.5</v>
          </cell>
          <cell r="K740">
            <v>0</v>
          </cell>
          <cell r="L740">
            <v>0</v>
          </cell>
          <cell r="M740">
            <v>0</v>
          </cell>
          <cell r="N740">
            <v>58.820224485056428</v>
          </cell>
        </row>
        <row r="741">
          <cell r="E741" t="str">
            <v xml:space="preserve">10650 Bd Pie-IX, Montréal, QC H1H 4A6 </v>
          </cell>
          <cell r="F741" t="str">
            <v>9359-6633 Quebec Inc</v>
          </cell>
          <cell r="H741" t="str">
            <v>Regular</v>
          </cell>
          <cell r="I741">
            <v>436.03022222222296</v>
          </cell>
          <cell r="J741">
            <v>178.5</v>
          </cell>
          <cell r="K741">
            <v>0</v>
          </cell>
          <cell r="L741">
            <v>0</v>
          </cell>
          <cell r="M741">
            <v>0</v>
          </cell>
          <cell r="N741">
            <v>64.239438173323208</v>
          </cell>
        </row>
        <row r="742">
          <cell r="E742" t="str">
            <v xml:space="preserve">12451 Boulevard Rodolphe-Forget, Montréal, QC H1E 0A2 </v>
          </cell>
          <cell r="F742" t="str">
            <v>9359-6633 Quebec Inc</v>
          </cell>
          <cell r="H742" t="str">
            <v>Regular</v>
          </cell>
          <cell r="I742">
            <v>266.4151111111118</v>
          </cell>
          <cell r="J742">
            <v>178.5</v>
          </cell>
          <cell r="K742">
            <v>0</v>
          </cell>
          <cell r="L742">
            <v>0</v>
          </cell>
          <cell r="M742">
            <v>0</v>
          </cell>
          <cell r="N742">
            <v>39.23715683881958</v>
          </cell>
        </row>
        <row r="743">
          <cell r="E743" t="str">
            <v xml:space="preserve">8599 Bd Maurice-Duplessis, Montréal, QC H1E 4H7 </v>
          </cell>
          <cell r="F743" t="str">
            <v>9359-6633 Quebec Inc</v>
          </cell>
          <cell r="H743" t="str">
            <v>Regular</v>
          </cell>
          <cell r="I743">
            <v>598.44800000000055</v>
          </cell>
          <cell r="J743">
            <v>178.5</v>
          </cell>
          <cell r="K743">
            <v>0</v>
          </cell>
          <cell r="L743">
            <v>0</v>
          </cell>
          <cell r="M743">
            <v>0</v>
          </cell>
          <cell r="N743">
            <v>66.102180502800451</v>
          </cell>
        </row>
        <row r="744">
          <cell r="E744" t="str">
            <v>120 Colonnade -OS</v>
          </cell>
          <cell r="F744" t="e">
            <v>#N/A</v>
          </cell>
          <cell r="H744" t="str">
            <v xml:space="preserve">One Shot 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</row>
        <row r="745">
          <cell r="E745" t="str">
            <v>2 Constelation -OS</v>
          </cell>
          <cell r="F745" t="e">
            <v>#N/A</v>
          </cell>
          <cell r="H745" t="str">
            <v xml:space="preserve">One Shot 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E746" t="str">
            <v>785 Carling + 560 Rochester- OS</v>
          </cell>
          <cell r="F746" t="e">
            <v>#N/A</v>
          </cell>
          <cell r="H746" t="str">
            <v xml:space="preserve">One Shot 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E747" t="str">
            <v>245 Cooper -OS</v>
          </cell>
          <cell r="F747" t="e">
            <v>#N/A</v>
          </cell>
          <cell r="H747" t="str">
            <v xml:space="preserve">One Shot 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E748" t="str">
            <v>61 Queen - OS</v>
          </cell>
          <cell r="F748" t="e">
            <v>#N/A</v>
          </cell>
          <cell r="H748" t="str">
            <v xml:space="preserve">One Shot 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E749" t="str">
            <v>66 Queen - OS</v>
          </cell>
          <cell r="F749" t="e">
            <v>#N/A</v>
          </cell>
          <cell r="H749" t="str">
            <v xml:space="preserve">One Shot 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E750" t="str">
            <v>1431 Merivale - OS</v>
          </cell>
          <cell r="F750" t="e">
            <v>#N/A</v>
          </cell>
          <cell r="H750" t="str">
            <v xml:space="preserve">One Shot 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E751" t="str">
            <v>1801 Woodward - OS</v>
          </cell>
          <cell r="F751" t="e">
            <v>#N/A</v>
          </cell>
          <cell r="H751" t="str">
            <v xml:space="preserve">One Shot 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</row>
        <row r="752">
          <cell r="E752" t="str">
            <v>1564 Carling - OS</v>
          </cell>
          <cell r="F752" t="e">
            <v>#N/A</v>
          </cell>
          <cell r="H752" t="str">
            <v xml:space="preserve">One Shot 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E753" t="str">
            <v>100 Boteler - OS</v>
          </cell>
          <cell r="F753" t="e">
            <v>#N/A</v>
          </cell>
          <cell r="H753" t="str">
            <v xml:space="preserve">One Shot 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</row>
        <row r="754">
          <cell r="E754" t="str">
            <v>110 Boteler - OS</v>
          </cell>
          <cell r="F754" t="e">
            <v>#N/A</v>
          </cell>
          <cell r="H754" t="str">
            <v xml:space="preserve">One Shot 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E755" t="str">
            <v>1165 Kenaston - PSSP</v>
          </cell>
          <cell r="F755" t="str">
            <v>12433087 Canada Inc</v>
          </cell>
          <cell r="H755" t="str">
            <v>Regular</v>
          </cell>
          <cell r="I755">
            <v>480.00000000000006</v>
          </cell>
          <cell r="J755">
            <v>154.19999999999999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E756" t="str">
            <v>1165 Kenaston - PSSP-OS</v>
          </cell>
          <cell r="F756" t="str">
            <v>12433087 Canada Inc</v>
          </cell>
          <cell r="H756" t="str">
            <v xml:space="preserve">One Shot </v>
          </cell>
          <cell r="I756">
            <v>1080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</row>
        <row r="757">
          <cell r="E757" t="str">
            <v>424 MAIN STREET, WOLFVILLE - Insurance 2nd floor</v>
          </cell>
          <cell r="F757" t="str">
            <v>9359-6633 Quebec Inc</v>
          </cell>
          <cell r="H757" t="str">
            <v>Regular</v>
          </cell>
          <cell r="I757">
            <v>171.99999999999994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E758" t="str">
            <v>26 ABERDEEN STREET-OS</v>
          </cell>
          <cell r="F758" t="e">
            <v>#N/A</v>
          </cell>
          <cell r="H758" t="str">
            <v xml:space="preserve">One Shot 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E759" t="str">
            <v>700 Palladium (MACH)- OS</v>
          </cell>
          <cell r="F759" t="e">
            <v>#N/A</v>
          </cell>
          <cell r="H759" t="str">
            <v xml:space="preserve">One Shot 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E760" t="str">
            <v>750 Palladium (MACH)- OS</v>
          </cell>
          <cell r="F760" t="e">
            <v>#N/A</v>
          </cell>
          <cell r="H760" t="str">
            <v xml:space="preserve">One Shot 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E761" t="str">
            <v>1295 Carling - OS</v>
          </cell>
          <cell r="F761" t="e">
            <v>#N/A</v>
          </cell>
          <cell r="H761" t="str">
            <v xml:space="preserve">One Shot 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E762" t="str">
            <v>Universite de Montreal</v>
          </cell>
          <cell r="F762" t="e">
            <v>#N/A</v>
          </cell>
          <cell r="H762" t="str">
            <v/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E763" t="str">
            <v>Operations-Night shift</v>
          </cell>
          <cell r="F763" t="str">
            <v>9359-6633 Quebec Inc</v>
          </cell>
          <cell r="H763" t="str">
            <v/>
          </cell>
          <cell r="I763">
            <v>1805.0000000000002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E764" t="str">
            <v>1343 Meadowlands Dr - OS</v>
          </cell>
          <cell r="F764" t="e">
            <v>#N/A</v>
          </cell>
          <cell r="H764" t="str">
            <v xml:space="preserve">One Shot 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E765" t="str">
            <v>1000 Innovation-OS</v>
          </cell>
          <cell r="F765" t="e">
            <v>#N/A</v>
          </cell>
          <cell r="H765" t="str">
            <v xml:space="preserve">One Shot 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E766" t="str">
            <v>1910 St Laurent Blvd, Ottawa</v>
          </cell>
          <cell r="F766" t="str">
            <v>9359-6633 Quebec Inc</v>
          </cell>
          <cell r="H766" t="str">
            <v>Regular</v>
          </cell>
          <cell r="I766">
            <v>515.45000000000073</v>
          </cell>
          <cell r="J766">
            <v>275.01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E767" t="str">
            <v>Minto - 1749-24-03 Janitorial Services – Carlisle Residential (221 Lyon)</v>
          </cell>
          <cell r="F767" t="e">
            <v>#N/A</v>
          </cell>
          <cell r="H767" t="str">
            <v>Regular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E768" t="str">
            <v>440 Laurier Commercial (4016)</v>
          </cell>
          <cell r="F768" t="e">
            <v>#N/A</v>
          </cell>
          <cell r="H768" t="str">
            <v>Regular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E769" t="str">
            <v>440 Laurier Commercial (FLR440L)</v>
          </cell>
          <cell r="F769" t="e">
            <v>#N/A</v>
          </cell>
          <cell r="H769" t="str">
            <v>Regular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0">
          <cell r="E770" t="str">
            <v>221 Lion Residential (FLR221L)</v>
          </cell>
          <cell r="F770" t="e">
            <v>#N/A</v>
          </cell>
          <cell r="H770" t="str">
            <v>Regular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</row>
        <row r="771">
          <cell r="E771" t="str">
            <v>MACH-550 De la Cite-Lower level</v>
          </cell>
          <cell r="F771" t="e">
            <v>#N/A</v>
          </cell>
          <cell r="H771" t="str">
            <v>Regular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E772" t="str">
            <v>1341 Meadowlands-Parkwood Hills-Package 1-2-3-4-5-6 and SKYLINE 30 Eleanor and carpet program and ozone machine-239&amp;249 craig henry (5000) - Multi res</v>
          </cell>
          <cell r="F772" t="e">
            <v>#N/A</v>
          </cell>
          <cell r="H772" t="str">
            <v>Regular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E773" t="str">
            <v>1341 Meadowlands-Parkwood Hills-Package 1-2-3-4-5-6 and SKYLINE 30 Eleanor and carpet program and ozone machine-239&amp;249 craig henry (5000) - Malp</v>
          </cell>
          <cell r="F773" t="e">
            <v>#N/A</v>
          </cell>
          <cell r="H773" t="str">
            <v>Regular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E774" t="str">
            <v>141 Louis Pasteur, Ottawa, Ontario K1N 6N5 - OTTAWA U CRX</v>
          </cell>
          <cell r="F774" t="e">
            <v>#N/A</v>
          </cell>
          <cell r="H774" t="str">
            <v xml:space="preserve">One Shot 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E775" t="str">
            <v>99 Fifth (Bank &amp; fifth) Residential (4018)</v>
          </cell>
          <cell r="F775" t="e">
            <v>#N/A</v>
          </cell>
          <cell r="H775" t="str">
            <v>Regular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E776" t="str">
            <v>Minto - 1749-24-02 Janitorial Services - 99 Fifth – Fifth + Bank Commercial</v>
          </cell>
          <cell r="F776" t="e">
            <v>#N/A</v>
          </cell>
          <cell r="H776" t="str">
            <v>Regular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E777" t="str">
            <v>FMZ:*B00488_9 ELM ST BROOKFIELD - JANITORIAL SERVICE - JAN26 TO DEC26*9 ELM ST, BROOKFIELD</v>
          </cell>
          <cell r="F777" t="e">
            <v>#N/A</v>
          </cell>
          <cell r="H777" t="str">
            <v>Regular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</row>
        <row r="778">
          <cell r="E778" t="str">
            <v>FMZ:*B00619_334 HIGHWAY 352 HWY WHYCOCOMAGH - JANITORIAL SERVICE - JAN26 TO DEC26*334 HIGHWAY 352 HWY, WHYCOCOMA</v>
          </cell>
          <cell r="F778" t="e">
            <v>#N/A</v>
          </cell>
          <cell r="H778" t="str">
            <v>Regular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E779" t="str">
            <v>FMZ:*B00583_77 HIGH STREET ST BADDECK - JANITORIAL SERVICE - JAN26 TO DEC26*77 HIGH STREET ST, BADDECK</v>
          </cell>
          <cell r="F779" t="e">
            <v>#N/A</v>
          </cell>
          <cell r="H779" t="str">
            <v>Regular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E780" t="str">
            <v>FMZ:*B00595_4 HILLCREST ST INVERNESS - JANITORIAL SERVICE - JAN26 TO DEC26*4 HILLCREST ST, INVERNESS</v>
          </cell>
          <cell r="F780" t="e">
            <v>#N/A</v>
          </cell>
          <cell r="H780" t="str">
            <v>Regular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E781" t="str">
            <v>FMZ:*B00515_15 MAIN STREET EAST ST EAST STEWIACKE - JANITORIAL SERVICE - JAN26 TO DEC26*15 MAIN STREET EAST ST EAST, S</v>
          </cell>
          <cell r="F781" t="e">
            <v>#N/A</v>
          </cell>
          <cell r="H781" t="str">
            <v>Regular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E782" t="str">
            <v>FMZ:*B00560_1880 MAIN ST WESTVILLE - JANITORIAL SERVICE - JAN26 TO DEC26*1880 MAIN, WESTVILLE</v>
          </cell>
          <cell r="F782" t="e">
            <v>#N/A</v>
          </cell>
          <cell r="H782" t="str">
            <v>Regular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E783" t="str">
            <v>FMZ:*B00586_19 AUCOIN RD CHETICAMP - JANITORIAL SERVICE - JAN26 TO DEC26*19 AUCOIN RD, CHETICAMP</v>
          </cell>
          <cell r="F783" t="e">
            <v>#N/A</v>
          </cell>
          <cell r="H783" t="str">
            <v>Regular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E784" t="str">
            <v>FMZ:*B00371_347 COW BAY RD EASTERN PASSAGE - JANITORIAL SERVICE - JAN26 TO DEC26*347 COW BAY RD, EASTERN PASSAG</v>
          </cell>
          <cell r="F784" t="e">
            <v>#N/A</v>
          </cell>
          <cell r="H784" t="str">
            <v>Regular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E785" t="str">
            <v>FMZ:*B00551_87 COLORAINE ST PICTOU - JANITORIAL SERVICE - JAN26 TO DEC26*87 COLORAINE, PICTOU</v>
          </cell>
          <cell r="F785" t="e">
            <v>#N/A</v>
          </cell>
          <cell r="H785" t="str">
            <v>Regular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E786" t="str">
            <v>FMZ:*B00614_10009 GRENVILLE ST ST. PETER'S - JANITORIAL SERVICE - JAN26 TO DEC26*10009 GRENVILLE ST, ST. PETER'</v>
          </cell>
          <cell r="F786" t="e">
            <v>#N/A</v>
          </cell>
          <cell r="H786" t="str">
            <v>Regular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E787" t="str">
            <v>FMZ:*B00384_417 CALDWELL RD WILLOWDALE - JANITORIAL SERVICE - JAN26 TO DEC26*417 CALDWELL RD, WILLOWDALE</v>
          </cell>
          <cell r="F787" t="e">
            <v>#N/A</v>
          </cell>
          <cell r="H787" t="str">
            <v>Regular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E788" t="str">
            <v>FMZ:*B00514_89 MAIN ST SPRINGHILL - JANITORIAL SERVICE - JAN26 TO DEC26*89 MAIN, SPRINGHILL</v>
          </cell>
          <cell r="F788" t="e">
            <v>#N/A</v>
          </cell>
          <cell r="H788" t="str">
            <v>Regular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E789" t="str">
            <v>FMZ:*B00511_22485 HIGHWAY 7 HWY SHEET HARBOUR - JANITORIAL SERVICE - JAN26 TO DEC26*22485 HIGHWAY 7 HWY, SHEET HAR</v>
          </cell>
          <cell r="F789" t="e">
            <v>#N/A</v>
          </cell>
          <cell r="H789" t="str">
            <v>Regular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E790" t="str">
            <v>FMZ:*B00608_367 KELTIC DRIVE SYDNEY RIVER - JANITORIAL SERVICE - JAN26 TO DEC26*367 KELTIC DRIVE DR, SYDNEY RI</v>
          </cell>
          <cell r="F790" t="e">
            <v>#N/A</v>
          </cell>
          <cell r="H790" t="str">
            <v>Regular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E791" t="str">
            <v>FMZ:*B00368_50 PAYZANT AVE DARTMOUTH - JANITORIAL SERVICE - JAN26 TO DEC26*50 PAYZANT AVE, DARTMOUTH</v>
          </cell>
          <cell r="F791" t="e">
            <v>#N/A</v>
          </cell>
          <cell r="H791" t="str">
            <v>Regular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E792" t="str">
            <v>FMZ:*B00412_26 KING ST SHELBURNE - JANITORIAL SERVICE - JAN26 TO DEC26*26 KING ST, SHELBURNE</v>
          </cell>
          <cell r="F792" t="e">
            <v>#N/A</v>
          </cell>
          <cell r="H792" t="str">
            <v>Regular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E793" t="str">
            <v>FMZ:*B00393_2427 HIGHWAY 3 HWY BARRINGTON - JANITORIAL SERVICE - JAN26 TO DEC26*2427 HIGHWAY 3 HWY, BARRINGTON</v>
          </cell>
          <cell r="F793" t="e">
            <v>#N/A</v>
          </cell>
          <cell r="H793" t="str">
            <v>Regular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E794" t="str">
            <v>FMZ:*B00491_140 NINE MILE RIVER RD ELMSDALE - JANITORIAL SERVICE - JAN26 TO DEC26*140 RTE 214, ELMSDALE</v>
          </cell>
          <cell r="F794" t="e">
            <v>#N/A</v>
          </cell>
          <cell r="H794" t="str">
            <v>Regular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E795" t="str">
            <v>FMZ:*B00465_3119 CAMBROOKEN COURT 1 CRT COLDBROOK - JANITORIAL SERVICE - JAN26 TO DEC26*3119 CAMBROOKEN COURT 1 CRT, C</v>
          </cell>
          <cell r="F795" t="e">
            <v>#N/A</v>
          </cell>
          <cell r="H795" t="str">
            <v>Regular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E796" t="str">
            <v>FMZ:*B00602_484 GIBBON ST NEW WATERFORD - JANITORIAL SERVICE - JAN26 TO DEC26*484 GIBBON ST, NEW WATERFORD</v>
          </cell>
          <cell r="F796" t="e">
            <v>#N/A</v>
          </cell>
          <cell r="H796" t="str">
            <v>Regular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E797" t="str">
            <v>FMZ:*B00458_9149 COMMERCIAL ST NEW MINAS - JANITORIAL SERVICE - JAN26 TO DEC26*9149 COMMERCIAL ST, NEW MINAS</v>
          </cell>
          <cell r="F797" t="e">
            <v>#N/A</v>
          </cell>
          <cell r="H797" t="str">
            <v>Regular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E798" t="str">
            <v>FMZ:*B00534_107 SAINT MARYS ST ANTIGONISH - JANITORIAL SERVICE - JAN26 TO DEC26*107 SAINT MARYS ST, ANTIGONISH</v>
          </cell>
          <cell r="F798" t="e">
            <v>#N/A</v>
          </cell>
          <cell r="H798" t="str">
            <v>Regular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</row>
        <row r="799">
          <cell r="E799" t="str">
            <v>FMZ:*B00603_25 ARCHIBALD AVE NORTH SYDNEY - JANITORIAL SERVICE - JAN26 TO DEC26*25 ARCHIBALD AVE, NORTH SYDNEY</v>
          </cell>
          <cell r="F799" t="e">
            <v>#N/A</v>
          </cell>
          <cell r="H799" t="str">
            <v>Regular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E800" t="str">
            <v>FMZ:*CM0A843_450 LAHAVE ST., BRIDGEWATER - JANITORIAL SERVICE - FEB25 TO DEC25*450 LAHAVE ST., BRIDGEWATER</v>
          </cell>
          <cell r="F800" t="e">
            <v>#N/A</v>
          </cell>
          <cell r="H800" t="str">
            <v>Regular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E801" t="str">
            <v>FMZ:*B02893_17736 HIGHWAY 41 NORTHBROOK - JANITORIAL SERVICE - JAN26 TO DEC26*17736 HIGHWAY 41 NORTHBROOK</v>
          </cell>
          <cell r="F801" t="e">
            <v>#N/A</v>
          </cell>
          <cell r="H801" t="str">
            <v>Regular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E802" t="str">
            <v>FMZ:*B03046_8 DICKINSON DR INGLESIDE - JANITORIAL SERVICE - JAN26 TO DEC26*8 DICKINSON DR INGLESIDE</v>
          </cell>
          <cell r="F802" t="e">
            <v>#N/A</v>
          </cell>
          <cell r="H802" t="str">
            <v>Regular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</row>
        <row r="803">
          <cell r="E803" t="str">
            <v>FMZ:*B03080_9 MILES RD PTLT 11 RP-107 MARTINTOWN - JANITORIAL SERVICE - JAN26 TO DEC26*9 MILES RD PTLT 11 RP-107 MART</v>
          </cell>
          <cell r="F803" t="e">
            <v>#N/A</v>
          </cell>
          <cell r="H803" t="str">
            <v>Regular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</row>
        <row r="804">
          <cell r="E804" t="str">
            <v>FMZ:*B02815_12 MCDONALDS CORNERS - JANITORIAL SERVICE - JAN26 TO DEC26*12 MCDONALDS CORNERS</v>
          </cell>
          <cell r="F804" t="e">
            <v>#N/A</v>
          </cell>
          <cell r="H804" t="str">
            <v>Regular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E805" t="str">
            <v>FMZ:*B02808_376 ST PATRICK ST MERRICKVILLE - JANITORIAL SERVICE - JAN26 TO DEC26*376 ST PATRICK ST MERRICKVILLE</v>
          </cell>
          <cell r="F805" t="e">
            <v>#N/A</v>
          </cell>
          <cell r="H805" t="str">
            <v>Regular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</row>
        <row r="806">
          <cell r="E806" t="str">
            <v>FMZ:*B02811_10613 MAPLE AVE SOUTH MOUNTAIN - JANITORIAL SERVICE - JAN26 TO DEC26*10613 MAPLE AVE SOUTH MOUNTAIN</v>
          </cell>
          <cell r="F806" t="e">
            <v>#N/A</v>
          </cell>
          <cell r="H806" t="str">
            <v>Regular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</row>
        <row r="807">
          <cell r="E807" t="str">
            <v>FMZ:*B02807_95 GEORGE ST LANARK - JANITORIAL SERVICE - JAN26 TO DEC26*95 GEORGE ST LANARK</v>
          </cell>
          <cell r="F807" t="e">
            <v>#N/A</v>
          </cell>
          <cell r="H807" t="str">
            <v>Regular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E808" t="str">
            <v>FMZ:*B02792_19 BENNETT ST SPENCERVILLE - JANITORIAL SERVICE - JAN26 TO DEC26*19 BENNETT ST SPENCERVILLE</v>
          </cell>
          <cell r="F808" t="e">
            <v>#N/A</v>
          </cell>
          <cell r="H808" t="str">
            <v>Regular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</row>
        <row r="809">
          <cell r="E809" t="str">
            <v>FMZ:*B03059_5 BOISVENUE DR GLEN WALTER - JANITORIAL SERVICE - JAN26 TO DEC26*5 BOISVENUE DR GLEN WALTER</v>
          </cell>
          <cell r="F809" t="e">
            <v>#N/A</v>
          </cell>
          <cell r="H809" t="str">
            <v>Regular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</row>
        <row r="810">
          <cell r="E810" t="str">
            <v>FMZ:*B02802_4 CHURCH ST ATHENS - JANITORIAL SERVICE - JAN26 TO DEC26*4 CHURCH ST ATHENS</v>
          </cell>
          <cell r="F810" t="e">
            <v>#N/A</v>
          </cell>
          <cell r="H810" t="str">
            <v>Regular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E811" t="str">
            <v>FMZ:*B02781_321 PERRY ST ST CARDINAL - JANITORIAL SERVICE - JAN26 TO DEC26*321 PERRY ST ST CARDINAL</v>
          </cell>
          <cell r="F811" t="e">
            <v>#N/A</v>
          </cell>
          <cell r="H811" t="str">
            <v>Regular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</row>
        <row r="812">
          <cell r="E812" t="str">
            <v>FMZ:*B03056_13 FIFTH ST E MORRISBURG - JANITORIAL SERVICE - JAN26 TO DEC26*13 FIFTH ST E MORRISBURG</v>
          </cell>
          <cell r="F812" t="e">
            <v>#N/A</v>
          </cell>
          <cell r="H812" t="str">
            <v>Regular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E813" t="str">
            <v>FMZ:*RB02402_523 GARDINERS RD KINGSTON - GARBAGE REMOVAL</v>
          </cell>
          <cell r="F813" t="e">
            <v>#N/A</v>
          </cell>
          <cell r="H813" t="str">
            <v>Regular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E814" t="str">
            <v>FMZ:*RB02422_823 PRINCESS STREET KINGSTON - GARBAGE REMOVAL</v>
          </cell>
          <cell r="F814" t="e">
            <v>#N/A</v>
          </cell>
          <cell r="H814" t="str">
            <v>Regular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</row>
        <row r="815">
          <cell r="E815" t="str">
            <v>FMZ:*B03076_541 CHURCH WINCHESTER - JANITORIAL SERVICE - JAN26 TO DEC26*541 CHURCH WINCHESTER</v>
          </cell>
          <cell r="F815" t="e">
            <v>#N/A</v>
          </cell>
          <cell r="H815" t="str">
            <v>Regular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E816" t="str">
            <v>FMZ:*B06769_751 EAGLESON RD KANATA - JANITORIAL SERVICE - JAN26 TO DEC26*751 EAGLESON RD KANATA</v>
          </cell>
          <cell r="F816" t="e">
            <v>#N/A</v>
          </cell>
          <cell r="H816" t="str">
            <v>Regular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E817" t="str">
            <v>FMZ:*B06724_31 LENNOX ST RICHMOND - JANITORIAL SERVICE - JAN26 TO DEC26*31 LENNOX ST RICHMOND</v>
          </cell>
          <cell r="F817" t="e">
            <v>#N/A</v>
          </cell>
          <cell r="H817" t="str">
            <v>Regular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E818" t="str">
            <v>FMZ:*B06909_225 MONTREAL RD VANIER - JANITORIAL SERVICE - JAN26 TO DEC26*225 MONTREAL RD VANIER</v>
          </cell>
          <cell r="F818" t="e">
            <v>#N/A</v>
          </cell>
          <cell r="H818" t="str">
            <v>Regular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E819" t="str">
            <v>FMZ:*RB02422_823 PRINCESS STREET KINGSTON - JANITORIAL SERVICE - JAN26 TO DEC26*823 PRINCESS STREET, KINGSTON</v>
          </cell>
          <cell r="F819" t="e">
            <v>#N/A</v>
          </cell>
          <cell r="H819" t="str">
            <v>Regular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</row>
        <row r="820">
          <cell r="E820" t="str">
            <v>BMO0597 -  2446 BANK STREET, Ottawa ON - 2204 bank</v>
          </cell>
          <cell r="F820" t="e">
            <v>#N/A</v>
          </cell>
          <cell r="H820" t="str">
            <v>Regular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E821" t="str">
            <v>FMZ:*RB02402_523 GARDINERS RD KINGSTON - JANITORIAL SERVICE - JAN26 TO DEC26*523 GARDINERS RD, KINGSTON</v>
          </cell>
          <cell r="F821" t="e">
            <v>#N/A</v>
          </cell>
          <cell r="H821" t="str">
            <v>Regular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E822" t="str">
            <v>FMZ:*B00650_32 GEORGETOWN RD STRATFORD PEI - JANITORIAL SERVICE - JAN26 TO DEC26*32 GEORGETOWN RD, STRATFORD</v>
          </cell>
          <cell r="F822" t="e">
            <v>#N/A</v>
          </cell>
          <cell r="H822" t="str">
            <v>Regular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</row>
        <row r="823">
          <cell r="E823" t="str">
            <v>FMZ:*B00679_71 BELVEDERE AVE CHARLOTTETOWN - JANITORIAL SERVICE - JAN26 TO DEC26*71 BELVEDERE AVE, CHARLOTTETOW</v>
          </cell>
          <cell r="F823" t="e">
            <v>#N/A</v>
          </cell>
          <cell r="H823" t="str">
            <v>Regular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E824" t="str">
            <v>FMZ:*B00646_56 FITZROY CHARLOTTETOWN - JANITORIAL SERVICE - JAN26 TO DEC26*56 FITZROY ST, CHARLOTTETOWN</v>
          </cell>
          <cell r="F824" t="e">
            <v>#N/A</v>
          </cell>
          <cell r="H824" t="str">
            <v>Regular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E825" t="str">
            <v>FMZ:*B00668_304 WATER ST SUMMERSIDE PEI - JANITORIAL SERVICE - JAN26 TO DEC26*306 WATER, SUMMERSIDE</v>
          </cell>
          <cell r="F825" t="e">
            <v>#N/A</v>
          </cell>
          <cell r="H825" t="str">
            <v>Regular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E826" t="str">
            <v/>
          </cell>
          <cell r="F826" t="e">
            <v>#N/A</v>
          </cell>
          <cell r="H826" t="str">
            <v/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E827" t="str">
            <v/>
          </cell>
          <cell r="F827" t="e">
            <v>#N/A</v>
          </cell>
          <cell r="H827" t="str">
            <v/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</row>
        <row r="828">
          <cell r="E828" t="str">
            <v/>
          </cell>
          <cell r="F828" t="e">
            <v>#N/A</v>
          </cell>
          <cell r="H828" t="str">
            <v/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E829" t="str">
            <v/>
          </cell>
          <cell r="F829" t="e">
            <v>#N/A</v>
          </cell>
          <cell r="H829" t="str">
            <v/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E830" t="str">
            <v/>
          </cell>
          <cell r="F830" t="e">
            <v>#N/A</v>
          </cell>
          <cell r="H830" t="str">
            <v/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</row>
        <row r="831">
          <cell r="E831" t="str">
            <v/>
          </cell>
          <cell r="F831" t="e">
            <v>#N/A</v>
          </cell>
          <cell r="H831" t="str">
            <v/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E832" t="str">
            <v/>
          </cell>
          <cell r="F832" t="e">
            <v>#N/A</v>
          </cell>
          <cell r="H832" t="str">
            <v/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E833" t="str">
            <v/>
          </cell>
          <cell r="F833" t="e">
            <v>#N/A</v>
          </cell>
          <cell r="H833" t="str">
            <v/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E834" t="str">
            <v/>
          </cell>
          <cell r="F834" t="e">
            <v>#N/A</v>
          </cell>
          <cell r="H834" t="str">
            <v/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E835" t="str">
            <v/>
          </cell>
          <cell r="F835" t="e">
            <v>#N/A</v>
          </cell>
          <cell r="H835" t="str">
            <v/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</row>
        <row r="836">
          <cell r="E836" t="str">
            <v/>
          </cell>
          <cell r="F836" t="e">
            <v>#N/A</v>
          </cell>
          <cell r="H836" t="str">
            <v/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E837" t="str">
            <v/>
          </cell>
          <cell r="F837" t="e">
            <v>#N/A</v>
          </cell>
          <cell r="H837" t="str">
            <v/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E838" t="str">
            <v/>
          </cell>
          <cell r="F838" t="e">
            <v>#N/A</v>
          </cell>
          <cell r="H838" t="str">
            <v/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E839" t="str">
            <v/>
          </cell>
          <cell r="F839" t="e">
            <v>#N/A</v>
          </cell>
          <cell r="H839" t="str">
            <v/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E840" t="str">
            <v/>
          </cell>
          <cell r="F840" t="e">
            <v>#N/A</v>
          </cell>
          <cell r="H840" t="str">
            <v/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</row>
        <row r="841">
          <cell r="E841" t="str">
            <v/>
          </cell>
          <cell r="F841" t="e">
            <v>#N/A</v>
          </cell>
          <cell r="H841" t="str">
            <v/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E842" t="str">
            <v/>
          </cell>
          <cell r="F842" t="e">
            <v>#N/A</v>
          </cell>
          <cell r="H842" t="str">
            <v/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E843" t="str">
            <v/>
          </cell>
          <cell r="F843" t="e">
            <v>#N/A</v>
          </cell>
          <cell r="H843" t="str">
            <v/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E844" t="str">
            <v/>
          </cell>
          <cell r="F844" t="e">
            <v>#N/A</v>
          </cell>
          <cell r="H844" t="str">
            <v/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E845" t="str">
            <v/>
          </cell>
          <cell r="F845" t="e">
            <v>#N/A</v>
          </cell>
          <cell r="H845" t="str">
            <v/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E846" t="str">
            <v/>
          </cell>
          <cell r="F846" t="e">
            <v>#N/A</v>
          </cell>
          <cell r="H846" t="str">
            <v/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E847" t="str">
            <v/>
          </cell>
          <cell r="F847" t="e">
            <v>#N/A</v>
          </cell>
          <cell r="H847" t="str">
            <v/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E848" t="str">
            <v/>
          </cell>
          <cell r="F848" t="e">
            <v>#N/A</v>
          </cell>
          <cell r="H848" t="str">
            <v/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</row>
        <row r="849">
          <cell r="E849" t="str">
            <v/>
          </cell>
          <cell r="F849" t="e">
            <v>#N/A</v>
          </cell>
          <cell r="H849" t="str">
            <v/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</row>
        <row r="850">
          <cell r="E850" t="str">
            <v/>
          </cell>
          <cell r="F850" t="e">
            <v>#N/A</v>
          </cell>
          <cell r="H850" t="str">
            <v/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</row>
        <row r="851">
          <cell r="E851" t="str">
            <v/>
          </cell>
          <cell r="F851" t="e">
            <v>#N/A</v>
          </cell>
          <cell r="H851" t="str">
            <v/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</row>
        <row r="852">
          <cell r="E852" t="str">
            <v/>
          </cell>
          <cell r="F852" t="e">
            <v>#N/A</v>
          </cell>
          <cell r="H852" t="str">
            <v/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</row>
        <row r="853">
          <cell r="E853" t="str">
            <v/>
          </cell>
          <cell r="F853" t="e">
            <v>#N/A</v>
          </cell>
          <cell r="H853" t="str">
            <v/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E854" t="str">
            <v/>
          </cell>
          <cell r="F854" t="e">
            <v>#N/A</v>
          </cell>
          <cell r="H854" t="str">
            <v/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</row>
        <row r="855">
          <cell r="E855" t="str">
            <v/>
          </cell>
          <cell r="F855" t="e">
            <v>#N/A</v>
          </cell>
          <cell r="H855" t="str">
            <v/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E856" t="str">
            <v/>
          </cell>
          <cell r="F856" t="e">
            <v>#N/A</v>
          </cell>
          <cell r="H856" t="str">
            <v/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</row>
        <row r="857">
          <cell r="E857" t="str">
            <v/>
          </cell>
          <cell r="F857" t="e">
            <v>#N/A</v>
          </cell>
          <cell r="H857" t="str">
            <v/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E858" t="str">
            <v/>
          </cell>
          <cell r="F858" t="e">
            <v>#N/A</v>
          </cell>
          <cell r="H858" t="str">
            <v/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E859" t="str">
            <v/>
          </cell>
          <cell r="F859" t="e">
            <v>#N/A</v>
          </cell>
          <cell r="H859" t="str">
            <v/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</row>
        <row r="860">
          <cell r="E860" t="str">
            <v/>
          </cell>
          <cell r="F860" t="e">
            <v>#N/A</v>
          </cell>
          <cell r="H860" t="str">
            <v/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E861" t="str">
            <v/>
          </cell>
          <cell r="F861" t="e">
            <v>#N/A</v>
          </cell>
          <cell r="H861" t="str">
            <v/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</row>
        <row r="862">
          <cell r="E862" t="str">
            <v/>
          </cell>
          <cell r="F862" t="e">
            <v>#N/A</v>
          </cell>
          <cell r="H862" t="str">
            <v/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</row>
        <row r="863">
          <cell r="E863" t="str">
            <v/>
          </cell>
          <cell r="F863" t="e">
            <v>#N/A</v>
          </cell>
          <cell r="H863" t="str">
            <v/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</row>
        <row r="864">
          <cell r="E864" t="str">
            <v/>
          </cell>
          <cell r="F864" t="e">
            <v>#N/A</v>
          </cell>
          <cell r="H864" t="str">
            <v/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</row>
        <row r="865">
          <cell r="E865" t="str">
            <v/>
          </cell>
          <cell r="F865" t="e">
            <v>#N/A</v>
          </cell>
          <cell r="H865" t="str">
            <v/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E866" t="str">
            <v/>
          </cell>
          <cell r="H866" t="str">
            <v/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E867" t="str">
            <v/>
          </cell>
          <cell r="H867" t="str">
            <v/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</row>
        <row r="868">
          <cell r="E868" t="str">
            <v/>
          </cell>
          <cell r="H868" t="str">
            <v/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E869" t="str">
            <v/>
          </cell>
          <cell r="H869" t="str">
            <v/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E870" t="str">
            <v/>
          </cell>
          <cell r="H870" t="str">
            <v/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E871" t="str">
            <v/>
          </cell>
          <cell r="H871" t="str">
            <v/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E872" t="str">
            <v/>
          </cell>
          <cell r="H872" t="str">
            <v/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E873" t="str">
            <v/>
          </cell>
          <cell r="H873" t="str">
            <v/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E874" t="str">
            <v/>
          </cell>
          <cell r="H874" t="str">
            <v/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</row>
        <row r="875">
          <cell r="E875" t="str">
            <v/>
          </cell>
          <cell r="H875" t="str">
            <v/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E876" t="str">
            <v/>
          </cell>
          <cell r="H876" t="str">
            <v/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E877" t="str">
            <v/>
          </cell>
          <cell r="H877" t="str">
            <v/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E878" t="str">
            <v/>
          </cell>
          <cell r="H878" t="str">
            <v/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</row>
        <row r="879">
          <cell r="E879" t="str">
            <v/>
          </cell>
          <cell r="H879" t="str">
            <v/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</row>
        <row r="880">
          <cell r="E880" t="str">
            <v/>
          </cell>
          <cell r="H880" t="str">
            <v/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</row>
        <row r="881">
          <cell r="E881" t="str">
            <v/>
          </cell>
          <cell r="H881" t="str">
            <v/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E882" t="str">
            <v/>
          </cell>
          <cell r="H882" t="str">
            <v/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</row>
        <row r="883">
          <cell r="E883" t="str">
            <v/>
          </cell>
          <cell r="H883" t="str">
            <v/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</row>
        <row r="884">
          <cell r="E884" t="str">
            <v/>
          </cell>
          <cell r="H884" t="str">
            <v/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E885" t="str">
            <v/>
          </cell>
          <cell r="H885" t="str">
            <v/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E886" t="str">
            <v/>
          </cell>
          <cell r="H886" t="str">
            <v/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E887" t="str">
            <v/>
          </cell>
          <cell r="H887" t="str">
            <v/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</row>
        <row r="888">
          <cell r="E888" t="str">
            <v/>
          </cell>
          <cell r="H888" t="str">
            <v/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E889" t="str">
            <v/>
          </cell>
          <cell r="H889" t="str">
            <v/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</row>
        <row r="890">
          <cell r="E890" t="str">
            <v/>
          </cell>
          <cell r="H890" t="str">
            <v/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</row>
        <row r="891">
          <cell r="E891" t="str">
            <v/>
          </cell>
          <cell r="H891" t="str">
            <v/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E892" t="str">
            <v/>
          </cell>
          <cell r="H892" t="str">
            <v/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E893" t="str">
            <v/>
          </cell>
          <cell r="H893" t="str">
            <v/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E894" t="str">
            <v/>
          </cell>
          <cell r="H894" t="str">
            <v/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E895" t="str">
            <v/>
          </cell>
          <cell r="H895" t="str">
            <v/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E896" t="str">
            <v/>
          </cell>
          <cell r="H896" t="str">
            <v/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E897" t="str">
            <v/>
          </cell>
          <cell r="H897" t="str">
            <v/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E898" t="str">
            <v/>
          </cell>
          <cell r="H898" t="str">
            <v/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</row>
        <row r="899">
          <cell r="E899" t="str">
            <v/>
          </cell>
          <cell r="H899" t="str">
            <v/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E900" t="str">
            <v/>
          </cell>
          <cell r="H900" t="str">
            <v/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E901" t="str">
            <v/>
          </cell>
          <cell r="H901" t="str">
            <v/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E902" t="str">
            <v/>
          </cell>
          <cell r="H902" t="str">
            <v/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</row>
        <row r="903">
          <cell r="E903" t="str">
            <v/>
          </cell>
          <cell r="H903" t="str">
            <v/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E904" t="str">
            <v/>
          </cell>
          <cell r="H904" t="str">
            <v/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E905" t="str">
            <v/>
          </cell>
          <cell r="H905" t="str">
            <v/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E906" t="str">
            <v/>
          </cell>
          <cell r="H906" t="str">
            <v/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E907" t="str">
            <v/>
          </cell>
          <cell r="H907" t="str">
            <v/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E908" t="str">
            <v/>
          </cell>
          <cell r="H908" t="str">
            <v/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</row>
        <row r="909">
          <cell r="E909" t="str">
            <v/>
          </cell>
          <cell r="H909" t="str">
            <v/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</row>
        <row r="910">
          <cell r="E910" t="str">
            <v/>
          </cell>
          <cell r="H910" t="str">
            <v/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</row>
        <row r="911">
          <cell r="E911" t="str">
            <v/>
          </cell>
          <cell r="H911" t="str">
            <v/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E912" t="str">
            <v/>
          </cell>
          <cell r="H912" t="str">
            <v/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E913" t="str">
            <v/>
          </cell>
          <cell r="H913" t="str">
            <v/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</row>
        <row r="914">
          <cell r="E914" t="str">
            <v/>
          </cell>
          <cell r="H914" t="str">
            <v/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E915" t="str">
            <v/>
          </cell>
          <cell r="H915" t="str">
            <v/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</row>
        <row r="916">
          <cell r="E916" t="str">
            <v/>
          </cell>
          <cell r="H916" t="str">
            <v/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</row>
        <row r="917">
          <cell r="E917" t="str">
            <v/>
          </cell>
          <cell r="H917" t="str">
            <v/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</row>
        <row r="918">
          <cell r="E918" t="str">
            <v/>
          </cell>
          <cell r="H918" t="str">
            <v/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E919" t="str">
            <v/>
          </cell>
          <cell r="H919" t="str">
            <v/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therine Reyes" id="{D8CA4C1C-6DA0-42A1-9E3E-89EEC1E47C4C}" userId="S::kreyes@groupcastillo.com::d3f78fb0-a05a-4ee8-9751-049e81663a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6" dT="2025-11-11T22:10:19.46" personId="{D8CA4C1C-6DA0-42A1-9E3E-89EEC1E47C4C}" id="{4CDF3E00-E969-49CC-B2C9-AA1BD61CE210}">
    <text xml:space="preserve">Esto es Minto? Porque en payroll indica ese nombre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10696480%20CANADA%20LTD/01-Pato-Gzl/Master%20list%20payments%20Subs-Suppliers%20NOT%20USE.xlsx?web=1" TargetMode="External"/><Relationship Id="rId3" Type="http://schemas.openxmlformats.org/officeDocument/2006/relationships/hyperlink" Target="../../../12-Payroll/Payroll%20periods/2025/6.%20June/Payroll%2024%20May%20-%20%2006%20June%202025.xlsx?web=1" TargetMode="External"/><Relationship Id="rId7" Type="http://schemas.openxmlformats.org/officeDocument/2006/relationships/hyperlink" Target="../../../../10696480%20CANADA%20LTD/01-Pato-Gzl/Master%20list%20payments%20Subs-Suppliers%20NOT%20USE.xlsx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../../../../10696480%20CANADA%20LTD/01-Pato-Gzl/Master%20list%20payments%20Subs-Suppliers%20NOT%20USE.xlsx?web=1" TargetMode="External"/><Relationship Id="rId1" Type="http://schemas.openxmlformats.org/officeDocument/2006/relationships/hyperlink" Target="../../Invoicing/2025/Master%20monthly%20invoicing%20(all%20franchises)%202025.xlsx" TargetMode="External"/><Relationship Id="rId6" Type="http://schemas.openxmlformats.org/officeDocument/2006/relationships/hyperlink" Target="../../../09-Pagos%20Periodos/2025/06-June/Master%20pagos%20periodos%20All%20Companies%20June%2016-30.xlsx?web=1" TargetMode="External"/><Relationship Id="rId11" Type="http://schemas.openxmlformats.org/officeDocument/2006/relationships/comments" Target="../comments1.xml"/><Relationship Id="rId5" Type="http://schemas.openxmlformats.org/officeDocument/2006/relationships/hyperlink" Target="../../../09-Pagos%20Periodos/2025/06-June/Master%20pagos%20periodos%20All%20Companies%20June%2001-15%20Vs1.0%20COMPLETED.xlsx?web=1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../../../12-Payroll/Payroll%20periods/2025/6.%20June/Payroll%2007%20June%20-%20%2020%20June%202025.xlsx?web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2C5B-C042-4BFD-9A2E-0388CAF02551}">
  <dimension ref="A1:AU71"/>
  <sheetViews>
    <sheetView tabSelected="1" zoomScale="90" zoomScaleNormal="90" zoomScaleSheetLayoutView="40" workbookViewId="0">
      <pane xSplit="3" ySplit="7" topLeftCell="K47" activePane="bottomRight" state="frozen"/>
      <selection pane="topRight" activeCell="H40" sqref="H40"/>
      <selection pane="bottomLeft" activeCell="H40" sqref="H40"/>
      <selection pane="bottomRight" activeCell="S7" sqref="S7"/>
    </sheetView>
  </sheetViews>
  <sheetFormatPr defaultColWidth="8.85546875" defaultRowHeight="15" x14ac:dyDescent="0.25"/>
  <cols>
    <col min="1" max="1" width="20.28515625" bestFit="1" customWidth="1"/>
    <col min="2" max="2" width="7.28515625" style="2" customWidth="1"/>
    <col min="3" max="3" width="72.28515625" customWidth="1"/>
    <col min="4" max="4" width="9" customWidth="1"/>
    <col min="5" max="5" width="8.85546875" customWidth="1"/>
    <col min="6" max="6" width="8.42578125" customWidth="1"/>
    <col min="7" max="9" width="8.85546875" customWidth="1"/>
    <col min="10" max="10" width="10.85546875" customWidth="1"/>
    <col min="11" max="11" width="12" customWidth="1"/>
    <col min="12" max="12" width="16.28515625" customWidth="1"/>
    <col min="13" max="13" width="25.140625" style="2" bestFit="1" customWidth="1"/>
    <col min="14" max="20" width="15.140625" customWidth="1"/>
    <col min="21" max="21" width="13.7109375" customWidth="1"/>
    <col min="22" max="22" width="12.140625" customWidth="1"/>
    <col min="23" max="23" width="10.85546875" customWidth="1"/>
    <col min="24" max="24" width="12.140625" customWidth="1"/>
    <col min="25" max="25" width="12.42578125" style="3" customWidth="1"/>
    <col min="26" max="29" width="8.85546875" hidden="1" customWidth="1"/>
    <col min="30" max="33" width="13" customWidth="1"/>
    <col min="34" max="34" width="11.42578125" bestFit="1" customWidth="1"/>
    <col min="36" max="36" width="10.85546875" customWidth="1"/>
    <col min="37" max="37" width="13" customWidth="1"/>
    <col min="38" max="38" width="15.7109375" customWidth="1"/>
    <col min="39" max="39" width="15.140625" bestFit="1" customWidth="1"/>
    <col min="40" max="41" width="13.28515625" style="3" customWidth="1"/>
    <col min="42" max="42" width="13.28515625" customWidth="1"/>
    <col min="43" max="43" width="12" style="5" hidden="1" customWidth="1"/>
    <col min="44" max="44" width="10.28515625" style="6" hidden="1" customWidth="1"/>
    <col min="45" max="45" width="9.7109375" style="6" hidden="1" customWidth="1"/>
    <col min="46" max="46" width="11.42578125" hidden="1" customWidth="1"/>
    <col min="47" max="47" width="10.42578125" hidden="1" customWidth="1"/>
    <col min="48" max="48" width="0" hidden="1" customWidth="1"/>
  </cols>
  <sheetData>
    <row r="1" spans="1:47" x14ac:dyDescent="0.25">
      <c r="A1" s="1">
        <f>+'[1]Real OP'!A1</f>
        <v>45838</v>
      </c>
      <c r="AN1" s="4"/>
    </row>
    <row r="2" spans="1:47" s="7" customFormat="1" ht="12.75" customHeight="1" x14ac:dyDescent="0.2">
      <c r="B2" s="8"/>
      <c r="M2" s="9" t="s">
        <v>0</v>
      </c>
      <c r="N2" s="10">
        <v>0.05</v>
      </c>
      <c r="Q2" s="9" t="s">
        <v>1</v>
      </c>
      <c r="R2" s="11">
        <v>0.03</v>
      </c>
      <c r="T2" s="9" t="s">
        <v>2</v>
      </c>
      <c r="U2" s="12">
        <v>1.4999999999999999E-2</v>
      </c>
      <c r="W2" s="9" t="s">
        <v>3</v>
      </c>
      <c r="X2" s="10">
        <v>0.08</v>
      </c>
      <c r="Y2" s="13"/>
      <c r="AN2" s="14"/>
      <c r="AO2" s="13"/>
      <c r="AQ2" s="15"/>
      <c r="AR2" s="16"/>
      <c r="AS2" s="16"/>
    </row>
    <row r="3" spans="1:47" s="7" customFormat="1" ht="12" x14ac:dyDescent="0.2">
      <c r="B3" s="8"/>
      <c r="M3" s="9" t="s">
        <v>4</v>
      </c>
      <c r="N3" s="10">
        <v>0.08</v>
      </c>
      <c r="Q3" s="9" t="s">
        <v>5</v>
      </c>
      <c r="R3" s="10">
        <v>0.01</v>
      </c>
      <c r="T3" s="9" t="s">
        <v>6</v>
      </c>
      <c r="U3" s="10">
        <v>0.6</v>
      </c>
      <c r="W3" s="9" t="s">
        <v>7</v>
      </c>
      <c r="X3" s="10">
        <v>0.11</v>
      </c>
      <c r="Y3" s="13"/>
      <c r="AN3" s="14"/>
      <c r="AO3" s="13"/>
      <c r="AQ3" s="15"/>
      <c r="AR3" s="16"/>
      <c r="AS3" s="16"/>
    </row>
    <row r="4" spans="1:47" x14ac:dyDescent="0.25">
      <c r="U4" s="17" t="s">
        <v>8</v>
      </c>
      <c r="V4" s="50" t="s">
        <v>9</v>
      </c>
      <c r="W4" s="50"/>
      <c r="X4" s="50"/>
      <c r="Y4"/>
      <c r="AN4" s="4"/>
    </row>
    <row r="5" spans="1:47" x14ac:dyDescent="0.25">
      <c r="L5" s="51" t="s">
        <v>10</v>
      </c>
      <c r="M5" s="51"/>
      <c r="U5" s="17" t="s">
        <v>11</v>
      </c>
      <c r="V5" s="51" t="s">
        <v>12</v>
      </c>
      <c r="W5" s="51"/>
      <c r="X5" s="51"/>
      <c r="Y5"/>
      <c r="AD5" s="51" t="s">
        <v>13</v>
      </c>
      <c r="AE5" s="51"/>
      <c r="AF5" s="51"/>
      <c r="AK5" s="51" t="s">
        <v>13</v>
      </c>
      <c r="AL5" s="51"/>
      <c r="AM5" s="51"/>
      <c r="AN5" s="4"/>
    </row>
    <row r="6" spans="1:47" x14ac:dyDescent="0.25">
      <c r="A6" s="52" t="s">
        <v>14</v>
      </c>
      <c r="B6" s="53"/>
      <c r="C6" s="53"/>
      <c r="D6" s="53"/>
      <c r="E6" s="53"/>
      <c r="F6" s="53"/>
      <c r="G6" s="53"/>
      <c r="H6" s="53"/>
      <c r="I6" s="53"/>
      <c r="J6" s="53"/>
      <c r="K6" s="54"/>
      <c r="L6" s="55" t="s">
        <v>15</v>
      </c>
      <c r="M6" s="56"/>
      <c r="N6" s="57" t="s">
        <v>16</v>
      </c>
      <c r="O6" s="58"/>
      <c r="P6" s="58"/>
      <c r="Q6" s="58"/>
      <c r="R6" s="58"/>
      <c r="S6" s="58"/>
      <c r="T6" s="59"/>
      <c r="U6" s="55" t="s">
        <v>6</v>
      </c>
      <c r="V6" s="60"/>
      <c r="W6" s="60"/>
      <c r="X6" s="60"/>
      <c r="Y6" s="56"/>
      <c r="Z6" s="57" t="s">
        <v>17</v>
      </c>
      <c r="AA6" s="58"/>
      <c r="AB6" s="58"/>
      <c r="AC6" s="59"/>
      <c r="AD6" s="55" t="s">
        <v>18</v>
      </c>
      <c r="AE6" s="60"/>
      <c r="AF6" s="60"/>
      <c r="AG6" s="56"/>
      <c r="AH6" s="57" t="s">
        <v>19</v>
      </c>
      <c r="AI6" s="58"/>
      <c r="AJ6" s="59"/>
      <c r="AK6" s="18" t="s">
        <v>5</v>
      </c>
      <c r="AL6" s="19" t="s">
        <v>20</v>
      </c>
      <c r="AM6" s="20" t="s">
        <v>2</v>
      </c>
      <c r="AN6" s="4"/>
    </row>
    <row r="7" spans="1:47" s="31" customFormat="1" ht="35.25" customHeight="1" x14ac:dyDescent="0.25">
      <c r="A7" s="21" t="s">
        <v>21</v>
      </c>
      <c r="B7" s="22" t="s">
        <v>22</v>
      </c>
      <c r="C7" s="22" t="s">
        <v>23</v>
      </c>
      <c r="D7" s="22" t="s">
        <v>24</v>
      </c>
      <c r="E7" s="22" t="s">
        <v>25</v>
      </c>
      <c r="F7" s="22" t="s">
        <v>26</v>
      </c>
      <c r="G7" s="22" t="s">
        <v>27</v>
      </c>
      <c r="H7" s="22" t="s">
        <v>28</v>
      </c>
      <c r="I7" s="22" t="s">
        <v>29</v>
      </c>
      <c r="J7" s="22" t="s">
        <v>30</v>
      </c>
      <c r="K7" s="22" t="s">
        <v>31</v>
      </c>
      <c r="L7" s="23" t="s">
        <v>32</v>
      </c>
      <c r="M7" s="23" t="s">
        <v>33</v>
      </c>
      <c r="N7" s="24" t="s">
        <v>34</v>
      </c>
      <c r="O7" s="24" t="s">
        <v>35</v>
      </c>
      <c r="P7" s="24" t="s">
        <v>36</v>
      </c>
      <c r="Q7" s="24" t="s">
        <v>37</v>
      </c>
      <c r="R7" s="24" t="s">
        <v>38</v>
      </c>
      <c r="S7" s="24" t="s">
        <v>39</v>
      </c>
      <c r="T7" s="24" t="s">
        <v>40</v>
      </c>
      <c r="U7" s="23" t="s">
        <v>41</v>
      </c>
      <c r="V7" s="23" t="s">
        <v>42</v>
      </c>
      <c r="W7" s="23" t="s">
        <v>43</v>
      </c>
      <c r="X7" s="23" t="s">
        <v>44</v>
      </c>
      <c r="Y7" s="25" t="s">
        <v>45</v>
      </c>
      <c r="Z7" s="24" t="s">
        <v>41</v>
      </c>
      <c r="AA7" s="24" t="s">
        <v>42</v>
      </c>
      <c r="AB7" s="24" t="s">
        <v>43</v>
      </c>
      <c r="AC7" s="24" t="s">
        <v>46</v>
      </c>
      <c r="AD7" s="23" t="s">
        <v>47</v>
      </c>
      <c r="AE7" s="23" t="s">
        <v>48</v>
      </c>
      <c r="AF7" s="23" t="s">
        <v>49</v>
      </c>
      <c r="AG7" s="23" t="s">
        <v>50</v>
      </c>
      <c r="AH7" s="24" t="s">
        <v>51</v>
      </c>
      <c r="AI7" s="24" t="s">
        <v>52</v>
      </c>
      <c r="AJ7" s="24" t="s">
        <v>53</v>
      </c>
      <c r="AK7" s="23" t="s">
        <v>54</v>
      </c>
      <c r="AL7" s="24" t="s">
        <v>54</v>
      </c>
      <c r="AM7" s="23" t="s">
        <v>55</v>
      </c>
      <c r="AN7" s="26" t="s">
        <v>56</v>
      </c>
      <c r="AO7" s="27" t="s">
        <v>3</v>
      </c>
      <c r="AP7" s="28" t="s">
        <v>57</v>
      </c>
      <c r="AQ7" s="29" t="s">
        <v>58</v>
      </c>
      <c r="AR7" s="30"/>
      <c r="AS7" s="30"/>
      <c r="AT7" s="30" t="s">
        <v>59</v>
      </c>
      <c r="AU7" s="31" t="s">
        <v>60</v>
      </c>
    </row>
    <row r="8" spans="1:47" x14ac:dyDescent="0.25">
      <c r="A8" t="s">
        <v>61</v>
      </c>
      <c r="C8" t="s">
        <v>125</v>
      </c>
      <c r="D8" s="42"/>
      <c r="G8" t="s">
        <v>63</v>
      </c>
      <c r="H8" t="s">
        <v>189</v>
      </c>
      <c r="I8" t="s">
        <v>184</v>
      </c>
      <c r="L8" s="32">
        <f>+VLOOKUP(C8,'[2]January 2026'!E$13:K$73,7,0)</f>
        <v>1829.37</v>
      </c>
      <c r="M8" s="33" t="str">
        <f>+VLOOKUP(C8,'[2]January 2026'!E$13:N$73,10,0)</f>
        <v>INVOICE-4824</v>
      </c>
      <c r="N8" s="34"/>
      <c r="O8" s="35">
        <f t="shared" ref="O8" si="0">+L8*N8</f>
        <v>0</v>
      </c>
      <c r="P8" s="34"/>
      <c r="Q8" s="35">
        <f>+L8*P8</f>
        <v>0</v>
      </c>
      <c r="R8" s="35">
        <f t="shared" ref="R8" si="1">+L8*0.05</f>
        <v>91.468500000000006</v>
      </c>
      <c r="S8" s="35">
        <f t="shared" ref="S8" si="2">+L8*0.05</f>
        <v>91.468500000000006</v>
      </c>
      <c r="T8" s="35">
        <f t="shared" ref="T8" si="3">+L8*0.01</f>
        <v>18.293699999999998</v>
      </c>
      <c r="U8" s="36"/>
      <c r="V8" s="36">
        <f>+IFERROR(VLOOKUP(C8,[3]Sheet1!E$3:N$919,5,0)," ")</f>
        <v>528.00000000000045</v>
      </c>
      <c r="W8" s="36">
        <f>+IFERROR(VLOOKUP(C8,[3]Sheet1!E$3:N$919,10,0)," ")</f>
        <v>0</v>
      </c>
      <c r="X8" s="36">
        <f>+IFERROR(VLOOKUP(C8,[3]Sheet1!E$3:N$919,9,0)," ")</f>
        <v>0</v>
      </c>
      <c r="Y8" s="3">
        <f>+SUM(U8:X8)</f>
        <v>528.00000000000045</v>
      </c>
      <c r="Z8" s="35"/>
      <c r="AA8" s="35"/>
      <c r="AB8" s="35"/>
      <c r="AC8" s="35">
        <f t="shared" ref="AC8" si="4">+SUM(Z8:AB8)</f>
        <v>0</v>
      </c>
      <c r="AD8" s="36">
        <f>+IFERROR(VLOOKUP(C8,[3]Sheet1!E$3:N$919,6,0)," ")</f>
        <v>0</v>
      </c>
      <c r="AE8" s="37"/>
      <c r="AF8" s="38"/>
      <c r="AG8" s="35">
        <f t="shared" ref="AG8" si="5">+AD8+AF8</f>
        <v>0</v>
      </c>
      <c r="AH8" s="3">
        <f>+L8*$R$2</f>
        <v>54.881099999999996</v>
      </c>
      <c r="AI8" s="35"/>
      <c r="AJ8" s="35">
        <f t="shared" ref="AJ8" si="6">+SUM(AH8:AI8)</f>
        <v>54.881099999999996</v>
      </c>
      <c r="AK8" s="36"/>
      <c r="AM8" s="35"/>
      <c r="AN8" s="4">
        <f>AM8+AL8+AK8+AJ8+AG8+AC8+Y8+T8+S8+R8+Q8+O8</f>
        <v>784.11180000000036</v>
      </c>
      <c r="AO8" s="3">
        <f>+L8-AN8</f>
        <v>1045.2581999999995</v>
      </c>
      <c r="AP8" s="39">
        <f>IFERROR(AO8/L8,0)</f>
        <v>0.57137604749175919</v>
      </c>
      <c r="AQ8" s="5" t="str">
        <f>+'[1]Project Master'!AC7</f>
        <v>Total Cost</v>
      </c>
      <c r="AR8" s="6" t="e">
        <f>+L8-AQ8</f>
        <v>#VALUE!</v>
      </c>
      <c r="AS8" s="40">
        <f>IFERROR(AR8/L8,0)</f>
        <v>0</v>
      </c>
      <c r="AT8" s="41" t="e">
        <f>+AN8-AQ8</f>
        <v>#VALUE!</v>
      </c>
      <c r="AU8" s="39">
        <f>+AP8-AS8</f>
        <v>0.57137604749175919</v>
      </c>
    </row>
    <row r="9" spans="1:47" x14ac:dyDescent="0.25">
      <c r="A9" t="s">
        <v>61</v>
      </c>
      <c r="B9" s="2">
        <v>1071</v>
      </c>
      <c r="C9" t="s">
        <v>126</v>
      </c>
      <c r="D9" t="s">
        <v>62</v>
      </c>
      <c r="G9" t="s">
        <v>63</v>
      </c>
      <c r="H9" t="s">
        <v>189</v>
      </c>
      <c r="I9" t="s">
        <v>185</v>
      </c>
      <c r="L9" s="32">
        <f>+VLOOKUP(C9,'[2]January 2026'!E$13:K$73,7,0)</f>
        <v>23100</v>
      </c>
      <c r="M9" s="33" t="str">
        <f>+VLOOKUP(C9,'[2]January 2026'!E$13:N$73,10,0)</f>
        <v>INVOICE-4825</v>
      </c>
      <c r="N9" s="34"/>
      <c r="O9" s="35">
        <f t="shared" ref="O9:O68" si="7">+L9*N9</f>
        <v>0</v>
      </c>
      <c r="P9" s="34"/>
      <c r="Q9" s="35">
        <f>+L9*P9</f>
        <v>0</v>
      </c>
      <c r="R9" s="35">
        <f t="shared" ref="R9:R68" si="8">+L9*0.05</f>
        <v>1155</v>
      </c>
      <c r="S9" s="35">
        <f t="shared" ref="S9:S68" si="9">+L9*0.05</f>
        <v>1155</v>
      </c>
      <c r="T9" s="35">
        <f t="shared" ref="T9:T68" si="10">+L9*0.01</f>
        <v>231</v>
      </c>
      <c r="U9" s="36"/>
      <c r="V9" s="36">
        <f>+IFERROR(VLOOKUP(C9,[3]Sheet1!E$3:N$919,5,0)," ")</f>
        <v>4229.4250000000002</v>
      </c>
      <c r="W9" s="36">
        <f>+IFERROR(VLOOKUP(C9,[3]Sheet1!E$3:N$919,10,0)," ")</f>
        <v>2450</v>
      </c>
      <c r="X9" s="36">
        <f>+IFERROR(VLOOKUP(C9,[3]Sheet1!E$3:N$919,9,0)," ")</f>
        <v>0</v>
      </c>
      <c r="Y9" s="3">
        <f>+SUM(U9:X9)</f>
        <v>6679.4250000000002</v>
      </c>
      <c r="Z9" s="35"/>
      <c r="AA9" s="35"/>
      <c r="AB9" s="35"/>
      <c r="AC9" s="35">
        <f t="shared" ref="AC9:AC40" si="11">+SUM(Z9:AB9)</f>
        <v>0</v>
      </c>
      <c r="AD9" s="36">
        <f>+IFERROR(VLOOKUP(C9,[3]Sheet1!E$3:N$919,6,0)," ")</f>
        <v>640.93000000000006</v>
      </c>
      <c r="AE9" s="37"/>
      <c r="AF9" s="38"/>
      <c r="AG9" s="35">
        <f t="shared" ref="AG9:AG63" si="12">+AD9+AF9</f>
        <v>640.93000000000006</v>
      </c>
      <c r="AH9" s="3">
        <f>+L9*$R$2</f>
        <v>693</v>
      </c>
      <c r="AI9" s="35"/>
      <c r="AJ9" s="35">
        <f t="shared" ref="AJ9:AJ68" si="13">+SUM(AH9:AI9)</f>
        <v>693</v>
      </c>
      <c r="AK9" s="36"/>
      <c r="AM9" s="35"/>
      <c r="AN9" s="4">
        <f t="shared" ref="AN9:AN68" si="14">AM9+AL9+AK9+AJ9+AG9+AC9+Y9+T9+S9+R9+Q9+O9</f>
        <v>10554.355</v>
      </c>
      <c r="AO9" s="3">
        <f>+L9-AN9</f>
        <v>12545.645</v>
      </c>
      <c r="AP9" s="39">
        <f>IFERROR(AO9/L9,0)</f>
        <v>0.54310151515151517</v>
      </c>
      <c r="AQ9" s="5">
        <f>+'[1]Project Master'!AC8</f>
        <v>21252</v>
      </c>
      <c r="AR9" s="6">
        <f>+L9-AQ9</f>
        <v>1848</v>
      </c>
      <c r="AS9" s="40">
        <f>IFERROR(AR9/L9,0)</f>
        <v>0.08</v>
      </c>
      <c r="AT9" s="41">
        <f>+AN9-AQ9</f>
        <v>-10697.645</v>
      </c>
      <c r="AU9" s="39">
        <f>+AP9-AS9</f>
        <v>0.46310151515151515</v>
      </c>
    </row>
    <row r="10" spans="1:47" x14ac:dyDescent="0.25">
      <c r="A10" t="s">
        <v>61</v>
      </c>
      <c r="B10" s="2">
        <v>1072</v>
      </c>
      <c r="C10" t="s">
        <v>127</v>
      </c>
      <c r="D10" s="42">
        <v>1809</v>
      </c>
      <c r="G10" t="s">
        <v>63</v>
      </c>
      <c r="H10" t="s">
        <v>189</v>
      </c>
      <c r="I10" t="s">
        <v>185</v>
      </c>
      <c r="L10" s="32">
        <f>+VLOOKUP(C10,'[2]January 2026'!E$13:K$73,7,0)</f>
        <v>1489.79</v>
      </c>
      <c r="M10" s="33" t="str">
        <f>+VLOOKUP(C10,'[2]January 2026'!E$13:N$73,10,0)</f>
        <v>INVOICE-4826</v>
      </c>
      <c r="N10" s="34"/>
      <c r="O10" s="35">
        <f t="shared" si="7"/>
        <v>0</v>
      </c>
      <c r="P10" s="34"/>
      <c r="Q10" s="35">
        <f t="shared" ref="Q10:Q68" si="15">+L10*P10</f>
        <v>0</v>
      </c>
      <c r="R10" s="35">
        <f t="shared" si="8"/>
        <v>74.489500000000007</v>
      </c>
      <c r="S10" s="35">
        <f t="shared" si="9"/>
        <v>74.489500000000007</v>
      </c>
      <c r="T10" s="35">
        <f t="shared" si="10"/>
        <v>14.8979</v>
      </c>
      <c r="U10" s="36"/>
      <c r="V10" s="36">
        <f>+IFERROR(VLOOKUP(C10,[3]Sheet1!E$3:N$919,5,0)," ")</f>
        <v>0</v>
      </c>
      <c r="W10" s="36">
        <f>+IFERROR(VLOOKUP(C10,[3]Sheet1!E$3:N$919,10,0)," ")</f>
        <v>0</v>
      </c>
      <c r="X10" s="36">
        <f>+IFERROR(VLOOKUP(C10,[3]Sheet1!E$3:N$919,9,0)," ")</f>
        <v>0</v>
      </c>
      <c r="Y10" s="3">
        <f t="shared" ref="Y10:Y68" si="16">+SUM(U10:X10)</f>
        <v>0</v>
      </c>
      <c r="Z10" s="35"/>
      <c r="AA10" s="35"/>
      <c r="AB10" s="35"/>
      <c r="AC10" s="35">
        <f t="shared" si="11"/>
        <v>0</v>
      </c>
      <c r="AD10" s="36">
        <f>+IFERROR(VLOOKUP(C10,[3]Sheet1!E$3:N$919,6,0)," ")</f>
        <v>0</v>
      </c>
      <c r="AE10" s="37"/>
      <c r="AF10" s="38"/>
      <c r="AG10" s="35">
        <f t="shared" si="12"/>
        <v>0</v>
      </c>
      <c r="AH10" s="3">
        <f t="shared" ref="AH10:AH68" si="17">+L10*$R$2</f>
        <v>44.6937</v>
      </c>
      <c r="AI10" s="35"/>
      <c r="AJ10" s="35">
        <f t="shared" si="13"/>
        <v>44.6937</v>
      </c>
      <c r="AK10" s="36"/>
      <c r="AM10" s="35"/>
      <c r="AN10" s="4">
        <f t="shared" si="14"/>
        <v>208.57060000000001</v>
      </c>
      <c r="AO10" s="3">
        <f t="shared" ref="AO10:AO68" si="18">+L10-AN10</f>
        <v>1281.2194</v>
      </c>
      <c r="AP10" s="39">
        <f t="shared" ref="AP10:AP68" si="19">IFERROR(AO10/L10,0)</f>
        <v>0.86</v>
      </c>
      <c r="AQ10" s="5">
        <f>+'[1]Project Master'!AC9</f>
        <v>1370.6067999999998</v>
      </c>
      <c r="AR10" s="6">
        <f t="shared" ref="AR10:AR68" si="20">+L10-AQ10</f>
        <v>119.18320000000017</v>
      </c>
      <c r="AS10" s="40">
        <f t="shared" ref="AS10:AS69" si="21">IFERROR(AR10/L10,0)</f>
        <v>8.0000000000000113E-2</v>
      </c>
      <c r="AT10" s="41">
        <f t="shared" ref="AT10:AT69" si="22">+AN10-AQ10</f>
        <v>-1162.0361999999998</v>
      </c>
      <c r="AU10" s="39">
        <f t="shared" ref="AU10:AU69" si="23">+AP10-AS10</f>
        <v>0.77999999999999992</v>
      </c>
    </row>
    <row r="11" spans="1:47" x14ac:dyDescent="0.25">
      <c r="A11" t="s">
        <v>61</v>
      </c>
      <c r="B11" s="2">
        <v>1073</v>
      </c>
      <c r="C11" t="s">
        <v>128</v>
      </c>
      <c r="D11" t="s">
        <v>62</v>
      </c>
      <c r="G11" t="s">
        <v>63</v>
      </c>
      <c r="H11" t="s">
        <v>189</v>
      </c>
      <c r="I11" t="s">
        <v>185</v>
      </c>
      <c r="L11" s="32">
        <f>+VLOOKUP(C11,'[2]January 2026'!E$13:K$73,7,0)</f>
        <v>27226.19</v>
      </c>
      <c r="M11" s="33" t="str">
        <f>+VLOOKUP(C11,'[2]January 2026'!E$13:N$73,10,0)</f>
        <v>INVOICE-4827</v>
      </c>
      <c r="N11" s="34">
        <v>0.03</v>
      </c>
      <c r="O11" s="35">
        <f t="shared" si="7"/>
        <v>816.78569999999991</v>
      </c>
      <c r="P11" s="34"/>
      <c r="Q11" s="35">
        <f t="shared" si="15"/>
        <v>0</v>
      </c>
      <c r="R11" s="35">
        <f t="shared" si="8"/>
        <v>1361.3095000000001</v>
      </c>
      <c r="S11" s="35">
        <f t="shared" si="9"/>
        <v>1361.3095000000001</v>
      </c>
      <c r="T11" s="35">
        <f t="shared" si="10"/>
        <v>272.26189999999997</v>
      </c>
      <c r="U11" s="36"/>
      <c r="V11" s="36">
        <f>+IFERROR(VLOOKUP(C11,[3]Sheet1!E$3:N$919,5,0)," ")</f>
        <v>9015</v>
      </c>
      <c r="W11" s="36">
        <f>+IFERROR(VLOOKUP(C11,[3]Sheet1!E$3:N$919,10,0)," ")</f>
        <v>0</v>
      </c>
      <c r="X11" s="36">
        <f>+IFERROR(VLOOKUP(C11,[3]Sheet1!E$3:N$919,9,0)," ")</f>
        <v>0</v>
      </c>
      <c r="Y11" s="3">
        <f>+SUM(U11:X11)</f>
        <v>9015</v>
      </c>
      <c r="Z11" s="35"/>
      <c r="AA11" s="35"/>
      <c r="AB11" s="35"/>
      <c r="AC11" s="35">
        <f t="shared" si="11"/>
        <v>0</v>
      </c>
      <c r="AD11" s="36">
        <f>+IFERROR(VLOOKUP(C11,[3]Sheet1!E$3:N$919,6,0)," ")</f>
        <v>2693.26</v>
      </c>
      <c r="AE11" s="37"/>
      <c r="AF11" s="38"/>
      <c r="AG11" s="35">
        <f t="shared" si="12"/>
        <v>2693.26</v>
      </c>
      <c r="AH11" s="3">
        <f t="shared" si="17"/>
        <v>816.78569999999991</v>
      </c>
      <c r="AI11" s="35"/>
      <c r="AJ11" s="35">
        <f t="shared" si="13"/>
        <v>816.78569999999991</v>
      </c>
      <c r="AK11" s="36"/>
      <c r="AM11" s="35"/>
      <c r="AN11" s="4">
        <f t="shared" si="14"/>
        <v>16336.712299999999</v>
      </c>
      <c r="AO11" s="3">
        <f t="shared" si="18"/>
        <v>10889.477699999999</v>
      </c>
      <c r="AP11" s="39">
        <f t="shared" si="19"/>
        <v>0.39996333309948989</v>
      </c>
      <c r="AQ11" s="5">
        <f>+'[1]Project Master'!AC10</f>
        <v>25048.094799999995</v>
      </c>
      <c r="AR11" s="6">
        <f t="shared" si="20"/>
        <v>2178.0952000000034</v>
      </c>
      <c r="AS11" s="40">
        <f t="shared" si="21"/>
        <v>8.0000000000000127E-2</v>
      </c>
      <c r="AT11" s="41">
        <f t="shared" si="22"/>
        <v>-8711.3824999999961</v>
      </c>
      <c r="AU11" s="39">
        <f t="shared" si="23"/>
        <v>0.31996333309948977</v>
      </c>
    </row>
    <row r="12" spans="1:47" x14ac:dyDescent="0.25">
      <c r="A12" t="s">
        <v>61</v>
      </c>
      <c r="B12" s="2">
        <v>1074</v>
      </c>
      <c r="C12" t="s">
        <v>129</v>
      </c>
      <c r="D12" t="s">
        <v>62</v>
      </c>
      <c r="G12" t="s">
        <v>63</v>
      </c>
      <c r="H12" t="s">
        <v>189</v>
      </c>
      <c r="I12" t="s">
        <v>185</v>
      </c>
      <c r="L12" s="32">
        <f>+VLOOKUP(C12,'[2]January 2026'!E$13:K$73,7,0)</f>
        <v>253.19</v>
      </c>
      <c r="M12" s="33" t="str">
        <f>+VLOOKUP(C12,'[2]January 2026'!E$13:N$73,10,0)</f>
        <v>INVOICE-4828</v>
      </c>
      <c r="N12" s="34"/>
      <c r="O12" s="35">
        <f t="shared" si="7"/>
        <v>0</v>
      </c>
      <c r="P12" s="34"/>
      <c r="Q12" s="35">
        <f t="shared" si="15"/>
        <v>0</v>
      </c>
      <c r="R12" s="35">
        <f t="shared" si="8"/>
        <v>12.659500000000001</v>
      </c>
      <c r="S12" s="35">
        <f t="shared" si="9"/>
        <v>12.659500000000001</v>
      </c>
      <c r="T12" s="35">
        <f t="shared" si="10"/>
        <v>2.5318999999999998</v>
      </c>
      <c r="U12" s="36"/>
      <c r="V12" s="36">
        <f>+IFERROR(VLOOKUP(C12,[3]Sheet1!E$3:N$919,5,0)," ")</f>
        <v>0</v>
      </c>
      <c r="W12" s="36">
        <f>+IFERROR(VLOOKUP(C12,[3]Sheet1!E$3:N$919,10,0)," ")</f>
        <v>0</v>
      </c>
      <c r="X12" s="36">
        <f>+IFERROR(VLOOKUP(C12,[3]Sheet1!E$3:N$919,9,0)," ")</f>
        <v>0</v>
      </c>
      <c r="Y12" s="3">
        <f t="shared" si="16"/>
        <v>0</v>
      </c>
      <c r="Z12" s="35"/>
      <c r="AA12" s="35"/>
      <c r="AB12" s="35"/>
      <c r="AC12" s="35">
        <f t="shared" si="11"/>
        <v>0</v>
      </c>
      <c r="AD12" s="36">
        <f>+IFERROR(VLOOKUP(C12,[3]Sheet1!E$3:N$919,6,0)," ")</f>
        <v>0</v>
      </c>
      <c r="AE12" s="37"/>
      <c r="AF12" s="38"/>
      <c r="AG12" s="35">
        <f t="shared" si="12"/>
        <v>0</v>
      </c>
      <c r="AH12" s="3">
        <f t="shared" si="17"/>
        <v>7.5956999999999999</v>
      </c>
      <c r="AI12" s="35"/>
      <c r="AJ12" s="35">
        <f t="shared" si="13"/>
        <v>7.5956999999999999</v>
      </c>
      <c r="AK12" s="36"/>
      <c r="AM12" s="35"/>
      <c r="AN12" s="4">
        <f t="shared" si="14"/>
        <v>35.446600000000004</v>
      </c>
      <c r="AO12" s="3">
        <f t="shared" si="18"/>
        <v>217.74340000000001</v>
      </c>
      <c r="AP12" s="39">
        <f t="shared" si="19"/>
        <v>0.86</v>
      </c>
      <c r="AQ12" s="5">
        <f>+'[1]Project Master'!AC11</f>
        <v>232.9348</v>
      </c>
      <c r="AR12" s="6">
        <f t="shared" si="20"/>
        <v>20.255200000000002</v>
      </c>
      <c r="AS12" s="40">
        <f t="shared" si="21"/>
        <v>8.0000000000000016E-2</v>
      </c>
      <c r="AT12" s="41">
        <f t="shared" si="22"/>
        <v>-197.48820000000001</v>
      </c>
      <c r="AU12" s="39">
        <f t="shared" si="23"/>
        <v>0.78</v>
      </c>
    </row>
    <row r="13" spans="1:47" x14ac:dyDescent="0.25">
      <c r="A13" t="s">
        <v>61</v>
      </c>
      <c r="B13" s="2">
        <v>1075</v>
      </c>
      <c r="C13" t="s">
        <v>130</v>
      </c>
      <c r="D13" t="s">
        <v>64</v>
      </c>
      <c r="G13" t="s">
        <v>63</v>
      </c>
      <c r="H13" t="s">
        <v>189</v>
      </c>
      <c r="I13" t="s">
        <v>185</v>
      </c>
      <c r="L13" s="32">
        <f>+VLOOKUP(C13,'[2]January 2026'!E$13:K$73,7,0)</f>
        <v>36385.07</v>
      </c>
      <c r="M13" s="33" t="str">
        <f>+VLOOKUP(C13,'[2]January 2026'!E$13:N$73,10,0)</f>
        <v>INVOICE-4829</v>
      </c>
      <c r="N13" s="34">
        <v>0.03</v>
      </c>
      <c r="O13" s="35">
        <f>+L13*N13</f>
        <v>1091.5520999999999</v>
      </c>
      <c r="P13" s="43">
        <v>5.0000000000000001E-3</v>
      </c>
      <c r="Q13" s="35">
        <f t="shared" si="15"/>
        <v>181.92535000000001</v>
      </c>
      <c r="R13" s="35">
        <f t="shared" si="8"/>
        <v>1819.2535</v>
      </c>
      <c r="S13" s="35">
        <f t="shared" si="9"/>
        <v>1819.2535</v>
      </c>
      <c r="T13" s="35">
        <f t="shared" si="10"/>
        <v>363.85070000000002</v>
      </c>
      <c r="U13" s="36">
        <f>5846+5846</f>
        <v>11692</v>
      </c>
      <c r="V13" s="36">
        <f>+IFERROR(VLOOKUP(C13,[3]Sheet1!E$3:N$919,5,0)," ")</f>
        <v>0</v>
      </c>
      <c r="W13" s="36">
        <f>+IFERROR(VLOOKUP(C13,[3]Sheet1!E$3:N$919,10,0)," ")</f>
        <v>11440</v>
      </c>
      <c r="X13" s="36">
        <f>+IFERROR(VLOOKUP(C13,[3]Sheet1!E$3:N$919,9,0)," ")</f>
        <v>0</v>
      </c>
      <c r="Y13" s="3">
        <f t="shared" si="16"/>
        <v>23132</v>
      </c>
      <c r="Z13" s="35"/>
      <c r="AA13" s="35"/>
      <c r="AB13" s="35"/>
      <c r="AC13" s="35">
        <f t="shared" si="11"/>
        <v>0</v>
      </c>
      <c r="AD13" s="36">
        <f>+IFERROR(VLOOKUP(C13,[3]Sheet1!E$3:N$919,6,0)," ")</f>
        <v>5947.21</v>
      </c>
      <c r="AE13" s="37"/>
      <c r="AF13" s="38"/>
      <c r="AG13" s="35">
        <f t="shared" si="12"/>
        <v>5947.21</v>
      </c>
      <c r="AH13" s="3">
        <f t="shared" si="17"/>
        <v>1091.5520999999999</v>
      </c>
      <c r="AI13" s="35"/>
      <c r="AJ13" s="35">
        <f t="shared" si="13"/>
        <v>1091.5520999999999</v>
      </c>
      <c r="AK13" s="36"/>
      <c r="AM13" s="35"/>
      <c r="AN13" s="4">
        <f t="shared" si="14"/>
        <v>35446.597249999999</v>
      </c>
      <c r="AO13" s="3">
        <f t="shared" si="18"/>
        <v>938.47275000000081</v>
      </c>
      <c r="AP13" s="39">
        <f t="shared" si="19"/>
        <v>2.5792797705212627E-2</v>
      </c>
      <c r="AQ13" s="5">
        <f>+'[1]Project Master'!AC12</f>
        <v>33474.264399999993</v>
      </c>
      <c r="AR13" s="6">
        <f t="shared" si="20"/>
        <v>2910.805600000007</v>
      </c>
      <c r="AS13" s="40">
        <f t="shared" si="21"/>
        <v>8.0000000000000196E-2</v>
      </c>
      <c r="AT13" s="41">
        <f t="shared" si="22"/>
        <v>1972.3328500000061</v>
      </c>
      <c r="AU13" s="39">
        <f t="shared" si="23"/>
        <v>-5.4207202294787565E-2</v>
      </c>
    </row>
    <row r="14" spans="1:47" x14ac:dyDescent="0.25">
      <c r="A14" t="s">
        <v>61</v>
      </c>
      <c r="B14" s="2">
        <v>1076</v>
      </c>
      <c r="C14" t="s">
        <v>131</v>
      </c>
      <c r="D14" t="s">
        <v>65</v>
      </c>
      <c r="G14" t="s">
        <v>63</v>
      </c>
      <c r="H14" t="s">
        <v>189</v>
      </c>
      <c r="I14" t="s">
        <v>185</v>
      </c>
      <c r="L14" s="32">
        <f>+VLOOKUP(C14,'[2]January 2026'!E$13:K$73,7,0)</f>
        <v>24281.66</v>
      </c>
      <c r="M14" s="33" t="str">
        <f>+VLOOKUP(C14,'[2]January 2026'!E$13:N$73,10,0)</f>
        <v>INVOICE-4830</v>
      </c>
      <c r="N14" s="34">
        <v>0.03</v>
      </c>
      <c r="O14" s="35">
        <f t="shared" si="7"/>
        <v>728.44979999999998</v>
      </c>
      <c r="P14" s="43">
        <v>5.0000000000000001E-3</v>
      </c>
      <c r="Q14" s="35">
        <f t="shared" si="15"/>
        <v>121.4083</v>
      </c>
      <c r="R14" s="35">
        <f t="shared" si="8"/>
        <v>1214.0830000000001</v>
      </c>
      <c r="S14" s="35">
        <f t="shared" si="9"/>
        <v>1214.0830000000001</v>
      </c>
      <c r="T14" s="35">
        <f t="shared" si="10"/>
        <v>242.81659999999999</v>
      </c>
      <c r="U14" s="36">
        <f>2097+2097</f>
        <v>4194</v>
      </c>
      <c r="V14" s="36">
        <f>+IFERROR(VLOOKUP(C14,[3]Sheet1!E$3:N$919,5,0)," ")</f>
        <v>0</v>
      </c>
      <c r="W14" s="36">
        <f>+IFERROR(VLOOKUP(C14,[3]Sheet1!E$3:N$919,10,0)," ")</f>
        <v>9966.5</v>
      </c>
      <c r="X14" s="36">
        <f>+IFERROR(VLOOKUP(C14,[3]Sheet1!E$3:N$919,9,0)," ")</f>
        <v>0</v>
      </c>
      <c r="Y14" s="3">
        <f t="shared" si="16"/>
        <v>14160.5</v>
      </c>
      <c r="Z14" s="35"/>
      <c r="AA14" s="35"/>
      <c r="AB14" s="35"/>
      <c r="AC14" s="35">
        <f t="shared" si="11"/>
        <v>0</v>
      </c>
      <c r="AD14" s="36">
        <f>+IFERROR(VLOOKUP(C14,[3]Sheet1!E$3:N$919,6,0)," ")</f>
        <v>1749.46</v>
      </c>
      <c r="AE14" s="37"/>
      <c r="AF14" s="38"/>
      <c r="AG14" s="35">
        <f t="shared" si="12"/>
        <v>1749.46</v>
      </c>
      <c r="AH14" s="3">
        <f t="shared" si="17"/>
        <v>728.44979999999998</v>
      </c>
      <c r="AI14" s="35"/>
      <c r="AJ14" s="35">
        <f t="shared" si="13"/>
        <v>728.44979999999998</v>
      </c>
      <c r="AK14" s="36"/>
      <c r="AM14" s="35"/>
      <c r="AN14" s="4">
        <f t="shared" si="14"/>
        <v>20159.250499999995</v>
      </c>
      <c r="AO14" s="3">
        <f t="shared" si="18"/>
        <v>4122.4095000000052</v>
      </c>
      <c r="AP14" s="39">
        <f t="shared" si="19"/>
        <v>0.16977461590352574</v>
      </c>
      <c r="AQ14" s="5">
        <f>+'[1]Project Master'!AC13</f>
        <v>22339.127199999995</v>
      </c>
      <c r="AR14" s="6">
        <f t="shared" si="20"/>
        <v>1942.5328000000045</v>
      </c>
      <c r="AS14" s="40">
        <f t="shared" si="21"/>
        <v>8.0000000000000182E-2</v>
      </c>
      <c r="AT14" s="41">
        <f t="shared" si="22"/>
        <v>-2179.8767000000007</v>
      </c>
      <c r="AU14" s="39">
        <f t="shared" si="23"/>
        <v>8.9774615903525562E-2</v>
      </c>
    </row>
    <row r="15" spans="1:47" x14ac:dyDescent="0.25">
      <c r="A15" t="s">
        <v>61</v>
      </c>
      <c r="B15" s="2">
        <v>1077</v>
      </c>
      <c r="C15" t="s">
        <v>132</v>
      </c>
      <c r="D15" t="s">
        <v>66</v>
      </c>
      <c r="G15" t="s">
        <v>63</v>
      </c>
      <c r="H15" t="s">
        <v>189</v>
      </c>
      <c r="I15" t="s">
        <v>185</v>
      </c>
      <c r="L15" s="32">
        <f>+VLOOKUP(C15,'[2]January 2026'!E$13:K$73,7,0)</f>
        <v>1933.08</v>
      </c>
      <c r="M15" s="33" t="str">
        <f>+VLOOKUP(C15,'[2]January 2026'!E$13:N$73,10,0)</f>
        <v>INVOICE-4831</v>
      </c>
      <c r="N15" s="34">
        <v>0.03</v>
      </c>
      <c r="O15" s="35">
        <f t="shared" si="7"/>
        <v>57.992399999999996</v>
      </c>
      <c r="P15" s="43">
        <v>5.0000000000000001E-3</v>
      </c>
      <c r="Q15" s="35">
        <f t="shared" si="15"/>
        <v>9.6654</v>
      </c>
      <c r="R15" s="35">
        <f t="shared" si="8"/>
        <v>96.653999999999996</v>
      </c>
      <c r="S15" s="35">
        <f t="shared" si="9"/>
        <v>96.653999999999996</v>
      </c>
      <c r="T15" s="35">
        <f t="shared" si="10"/>
        <v>19.3308</v>
      </c>
      <c r="U15" s="36"/>
      <c r="V15" s="36">
        <f>+IFERROR(VLOOKUP(C15,[3]Sheet1!E$3:N$919,5,0)," ")</f>
        <v>0</v>
      </c>
      <c r="W15" s="36">
        <f>+IFERROR(VLOOKUP(C15,[3]Sheet1!E$3:N$919,10,0)," ")</f>
        <v>1320</v>
      </c>
      <c r="X15" s="36">
        <f>+IFERROR(VLOOKUP(C15,[3]Sheet1!E$3:N$919,9,0)," ")</f>
        <v>0</v>
      </c>
      <c r="Y15" s="3">
        <f t="shared" si="16"/>
        <v>1320</v>
      </c>
      <c r="Z15" s="35"/>
      <c r="AA15" s="35"/>
      <c r="AB15" s="35"/>
      <c r="AC15" s="35">
        <f t="shared" si="11"/>
        <v>0</v>
      </c>
      <c r="AD15" s="36">
        <f>+IFERROR(VLOOKUP(C15,[3]Sheet1!E$3:N$919,6,0)," ")</f>
        <v>0</v>
      </c>
      <c r="AE15" s="37"/>
      <c r="AF15" s="38"/>
      <c r="AG15" s="35">
        <f t="shared" si="12"/>
        <v>0</v>
      </c>
      <c r="AH15" s="3">
        <f t="shared" si="17"/>
        <v>57.992399999999996</v>
      </c>
      <c r="AI15" s="35"/>
      <c r="AJ15" s="35">
        <f t="shared" si="13"/>
        <v>57.992399999999996</v>
      </c>
      <c r="AK15" s="36"/>
      <c r="AM15" s="35"/>
      <c r="AN15" s="4">
        <f t="shared" si="14"/>
        <v>1658.2890000000002</v>
      </c>
      <c r="AO15" s="3">
        <f t="shared" si="18"/>
        <v>274.79099999999971</v>
      </c>
      <c r="AP15" s="39">
        <f t="shared" si="19"/>
        <v>0.14215190266310743</v>
      </c>
      <c r="AQ15" s="5">
        <f>+'[1]Project Master'!AC14</f>
        <v>1778.4336000000001</v>
      </c>
      <c r="AR15" s="6">
        <f t="shared" si="20"/>
        <v>154.64639999999986</v>
      </c>
      <c r="AS15" s="40">
        <f t="shared" si="21"/>
        <v>7.9999999999999932E-2</v>
      </c>
      <c r="AT15" s="41">
        <f t="shared" si="22"/>
        <v>-120.14459999999985</v>
      </c>
      <c r="AU15" s="39">
        <f t="shared" si="23"/>
        <v>6.2151902663107494E-2</v>
      </c>
    </row>
    <row r="16" spans="1:47" x14ac:dyDescent="0.25">
      <c r="A16" t="s">
        <v>61</v>
      </c>
      <c r="B16" s="2">
        <v>1078</v>
      </c>
      <c r="C16" t="s">
        <v>133</v>
      </c>
      <c r="D16" t="s">
        <v>67</v>
      </c>
      <c r="G16" t="s">
        <v>63</v>
      </c>
      <c r="H16" t="s">
        <v>189</v>
      </c>
      <c r="I16" t="s">
        <v>185</v>
      </c>
      <c r="L16" s="32">
        <f>+VLOOKUP(C16,'[2]January 2026'!E$13:K$73,7,0)</f>
        <v>7456.4949965745682</v>
      </c>
      <c r="M16" s="33" t="str">
        <f>+VLOOKUP(C16,'[2]January 2026'!E$13:N$73,10,0)</f>
        <v>INVOICE-4832</v>
      </c>
      <c r="N16" s="34">
        <v>0.03</v>
      </c>
      <c r="O16" s="35">
        <f t="shared" si="7"/>
        <v>223.69484989723705</v>
      </c>
      <c r="P16" s="43">
        <v>5.0000000000000001E-3</v>
      </c>
      <c r="Q16" s="35">
        <f t="shared" si="15"/>
        <v>37.282474982872841</v>
      </c>
      <c r="R16" s="35">
        <f t="shared" si="8"/>
        <v>372.82474982872844</v>
      </c>
      <c r="S16" s="35">
        <f t="shared" si="9"/>
        <v>372.82474982872844</v>
      </c>
      <c r="T16" s="35">
        <f t="shared" si="10"/>
        <v>74.564949965745683</v>
      </c>
      <c r="U16" s="36"/>
      <c r="V16" s="36">
        <f>+IFERROR(VLOOKUP(C16,[3]Sheet1!E$3:N$919,5,0)," ")</f>
        <v>0</v>
      </c>
      <c r="W16" s="36">
        <f>+IFERROR(VLOOKUP(C16,[3]Sheet1!E$3:N$919,10,0)," ")</f>
        <v>6039.75</v>
      </c>
      <c r="X16" s="36">
        <f>+IFERROR(VLOOKUP(C16,[3]Sheet1!E$3:N$919,9,0)," ")</f>
        <v>0</v>
      </c>
      <c r="Y16" s="3">
        <f t="shared" si="16"/>
        <v>6039.75</v>
      </c>
      <c r="Z16" s="35"/>
      <c r="AA16" s="35"/>
      <c r="AB16" s="35"/>
      <c r="AC16" s="35">
        <f t="shared" si="11"/>
        <v>0</v>
      </c>
      <c r="AD16" s="36">
        <f>+IFERROR(VLOOKUP(C16,[3]Sheet1!E$3:N$919,6,0)," ")</f>
        <v>0</v>
      </c>
      <c r="AE16" s="37"/>
      <c r="AF16" s="38"/>
      <c r="AG16" s="35">
        <f t="shared" si="12"/>
        <v>0</v>
      </c>
      <c r="AH16" s="3">
        <f t="shared" si="17"/>
        <v>223.69484989723705</v>
      </c>
      <c r="AI16" s="35"/>
      <c r="AJ16" s="35">
        <f t="shared" si="13"/>
        <v>223.69484989723705</v>
      </c>
      <c r="AK16" s="36"/>
      <c r="AM16" s="35"/>
      <c r="AN16" s="4">
        <f t="shared" si="14"/>
        <v>7344.6366244005494</v>
      </c>
      <c r="AO16" s="3">
        <f t="shared" si="18"/>
        <v>111.85837217401877</v>
      </c>
      <c r="AP16" s="39">
        <f t="shared" si="19"/>
        <v>1.5001468146281232E-2</v>
      </c>
      <c r="AQ16" s="5">
        <f>+'[1]Project Master'!AC15</f>
        <v>944.83999999999992</v>
      </c>
      <c r="AR16" s="6">
        <f t="shared" si="20"/>
        <v>6511.654996574568</v>
      </c>
      <c r="AS16" s="40">
        <f t="shared" si="21"/>
        <v>0.87328630939415242</v>
      </c>
      <c r="AT16" s="41">
        <f t="shared" si="22"/>
        <v>6399.7966244005493</v>
      </c>
      <c r="AU16" s="39">
        <f t="shared" si="23"/>
        <v>-0.85828484124787119</v>
      </c>
    </row>
    <row r="17" spans="1:47" x14ac:dyDescent="0.25">
      <c r="A17" t="s">
        <v>61</v>
      </c>
      <c r="B17" s="2">
        <v>1079</v>
      </c>
      <c r="C17" t="s">
        <v>134</v>
      </c>
      <c r="D17" t="s">
        <v>68</v>
      </c>
      <c r="G17" t="s">
        <v>63</v>
      </c>
      <c r="H17" t="s">
        <v>189</v>
      </c>
      <c r="I17" t="s">
        <v>185</v>
      </c>
      <c r="L17" s="32">
        <f>+VLOOKUP(C17,'[2]January 2026'!E$13:K$73,7,0)</f>
        <v>1027</v>
      </c>
      <c r="M17" s="33" t="str">
        <f>+VLOOKUP(C17,'[2]January 2026'!E$13:N$73,10,0)</f>
        <v>INVOICE-4833</v>
      </c>
      <c r="N17" s="34">
        <v>0.03</v>
      </c>
      <c r="O17" s="35">
        <f t="shared" si="7"/>
        <v>30.81</v>
      </c>
      <c r="P17" s="43"/>
      <c r="Q17" s="35">
        <f t="shared" si="15"/>
        <v>0</v>
      </c>
      <c r="R17" s="35">
        <f t="shared" si="8"/>
        <v>51.35</v>
      </c>
      <c r="S17" s="35">
        <f t="shared" si="9"/>
        <v>51.35</v>
      </c>
      <c r="T17" s="35">
        <f t="shared" si="10"/>
        <v>10.27</v>
      </c>
      <c r="U17" s="36"/>
      <c r="V17" s="36">
        <f>+IFERROR(VLOOKUP(C17,[3]Sheet1!E$3:N$919,5,0)," ")</f>
        <v>0</v>
      </c>
      <c r="W17" s="36">
        <f>+IFERROR(VLOOKUP(C17,[3]Sheet1!E$3:N$919,10,0)," ")</f>
        <v>0</v>
      </c>
      <c r="X17" s="36">
        <f>+IFERROR(VLOOKUP(C17,[3]Sheet1!E$3:N$919,9,0)," ")</f>
        <v>0</v>
      </c>
      <c r="Y17" s="3">
        <f t="shared" si="16"/>
        <v>0</v>
      </c>
      <c r="Z17" s="35"/>
      <c r="AA17" s="35"/>
      <c r="AB17" s="35"/>
      <c r="AC17" s="35">
        <f t="shared" si="11"/>
        <v>0</v>
      </c>
      <c r="AD17" s="36">
        <f>+IFERROR(VLOOKUP(C17,[3]Sheet1!E$3:N$919,6,0)," ")</f>
        <v>0</v>
      </c>
      <c r="AE17" s="37"/>
      <c r="AF17" s="38"/>
      <c r="AG17" s="35">
        <f t="shared" si="12"/>
        <v>0</v>
      </c>
      <c r="AH17" s="3">
        <f t="shared" si="17"/>
        <v>30.81</v>
      </c>
      <c r="AI17" s="35"/>
      <c r="AJ17" s="35">
        <f t="shared" si="13"/>
        <v>30.81</v>
      </c>
      <c r="AK17" s="36"/>
      <c r="AM17" s="35"/>
      <c r="AN17" s="4">
        <f t="shared" si="14"/>
        <v>174.59</v>
      </c>
      <c r="AO17" s="3">
        <f t="shared" si="18"/>
        <v>852.41</v>
      </c>
      <c r="AP17" s="39">
        <f t="shared" si="19"/>
        <v>0.83</v>
      </c>
      <c r="AQ17" s="5">
        <f>+'[1]Project Master'!AC16</f>
        <v>9405.0036000000018</v>
      </c>
      <c r="AR17" s="6">
        <f t="shared" si="20"/>
        <v>-8378.0036000000018</v>
      </c>
      <c r="AS17" s="40">
        <f t="shared" si="21"/>
        <v>-8.1577444985394365</v>
      </c>
      <c r="AT17" s="41">
        <f t="shared" si="22"/>
        <v>-9230.4136000000017</v>
      </c>
      <c r="AU17" s="39">
        <f t="shared" si="23"/>
        <v>8.9877444985394366</v>
      </c>
    </row>
    <row r="18" spans="1:47" x14ac:dyDescent="0.25">
      <c r="A18" t="s">
        <v>61</v>
      </c>
      <c r="B18" s="2">
        <v>1080</v>
      </c>
      <c r="C18" t="s">
        <v>135</v>
      </c>
      <c r="D18" t="s">
        <v>69</v>
      </c>
      <c r="G18" t="s">
        <v>63</v>
      </c>
      <c r="H18" t="s">
        <v>189</v>
      </c>
      <c r="I18" t="s">
        <v>185</v>
      </c>
      <c r="L18" s="32">
        <f>+VLOOKUP(C18,'[2]January 2026'!E$13:K$73,7,0)</f>
        <v>10222.83</v>
      </c>
      <c r="M18" s="33" t="str">
        <f>+VLOOKUP(C18,'[2]January 2026'!E$13:N$73,10,0)</f>
        <v>INVOICE-4834</v>
      </c>
      <c r="N18" s="34"/>
      <c r="O18" s="35">
        <f t="shared" si="7"/>
        <v>0</v>
      </c>
      <c r="P18" s="43">
        <v>5.0000000000000001E-3</v>
      </c>
      <c r="Q18" s="35">
        <f t="shared" si="15"/>
        <v>51.114150000000002</v>
      </c>
      <c r="R18" s="35">
        <f t="shared" si="8"/>
        <v>511.14150000000001</v>
      </c>
      <c r="S18" s="35">
        <f t="shared" si="9"/>
        <v>511.14150000000001</v>
      </c>
      <c r="T18" s="35">
        <f t="shared" si="10"/>
        <v>102.2283</v>
      </c>
      <c r="U18" s="36">
        <f>5453+4895</f>
        <v>10348</v>
      </c>
      <c r="V18" s="36">
        <f>+IFERROR(VLOOKUP(C18,[3]Sheet1!E$3:N$919,5,0)," ")</f>
        <v>0</v>
      </c>
      <c r="W18" s="36">
        <f>+IFERROR(VLOOKUP(C18,[3]Sheet1!E$3:N$919,10,0)," ")</f>
        <v>8279</v>
      </c>
      <c r="X18" s="36">
        <f>+IFERROR(VLOOKUP(C18,[3]Sheet1!E$3:N$919,9,0)," ")</f>
        <v>0</v>
      </c>
      <c r="Y18" s="3">
        <f t="shared" si="16"/>
        <v>18627</v>
      </c>
      <c r="Z18" s="35"/>
      <c r="AA18" s="35"/>
      <c r="AB18" s="35"/>
      <c r="AC18" s="35">
        <f t="shared" si="11"/>
        <v>0</v>
      </c>
      <c r="AD18" s="36">
        <f>+IFERROR(VLOOKUP(C18,[3]Sheet1!E$3:N$919,6,0)," ")</f>
        <v>0</v>
      </c>
      <c r="AE18" s="37"/>
      <c r="AF18" s="38"/>
      <c r="AG18" s="35">
        <f t="shared" si="12"/>
        <v>0</v>
      </c>
      <c r="AH18" s="3">
        <f t="shared" si="17"/>
        <v>306.68489999999997</v>
      </c>
      <c r="AI18" s="35"/>
      <c r="AJ18" s="35">
        <f t="shared" si="13"/>
        <v>306.68489999999997</v>
      </c>
      <c r="AK18" s="36"/>
      <c r="AM18" s="35"/>
      <c r="AN18" s="4">
        <f t="shared" si="14"/>
        <v>20109.310350000003</v>
      </c>
      <c r="AO18" s="3">
        <f t="shared" si="18"/>
        <v>-9886.4803500000035</v>
      </c>
      <c r="AP18" s="39">
        <f t="shared" si="19"/>
        <v>-0.96709818611871701</v>
      </c>
      <c r="AQ18" s="5">
        <f>+'[1]Project Master'!AC17</f>
        <v>42840.729200000002</v>
      </c>
      <c r="AR18" s="6">
        <f t="shared" si="20"/>
        <v>-32617.8992</v>
      </c>
      <c r="AS18" s="40">
        <f t="shared" si="21"/>
        <v>-3.1906917360456939</v>
      </c>
      <c r="AT18" s="41">
        <f t="shared" si="22"/>
        <v>-22731.418849999998</v>
      </c>
      <c r="AU18" s="39">
        <f t="shared" si="23"/>
        <v>2.223593549926977</v>
      </c>
    </row>
    <row r="19" spans="1:47" x14ac:dyDescent="0.25">
      <c r="A19" t="s">
        <v>61</v>
      </c>
      <c r="B19" s="2">
        <v>1081</v>
      </c>
      <c r="C19" t="s">
        <v>136</v>
      </c>
      <c r="D19" t="s">
        <v>70</v>
      </c>
      <c r="G19" t="s">
        <v>63</v>
      </c>
      <c r="H19" t="s">
        <v>189</v>
      </c>
      <c r="I19" t="s">
        <v>185</v>
      </c>
      <c r="L19" s="32">
        <f>+VLOOKUP(C19,'[2]January 2026'!E$13:K$73,7,0)</f>
        <v>46566.01</v>
      </c>
      <c r="M19" s="33" t="str">
        <f>+VLOOKUP(C19,'[2]January 2026'!E$13:N$73,10,0)</f>
        <v>INVOICE-4835</v>
      </c>
      <c r="N19" s="34">
        <v>0.03</v>
      </c>
      <c r="O19" s="35">
        <f t="shared" si="7"/>
        <v>1396.9802999999999</v>
      </c>
      <c r="P19" s="34"/>
      <c r="Q19" s="35">
        <f t="shared" si="15"/>
        <v>0</v>
      </c>
      <c r="R19" s="35">
        <f t="shared" si="8"/>
        <v>2328.3005000000003</v>
      </c>
      <c r="S19" s="35">
        <f t="shared" si="9"/>
        <v>2328.3005000000003</v>
      </c>
      <c r="T19" s="35">
        <f t="shared" si="10"/>
        <v>465.66010000000006</v>
      </c>
      <c r="U19" s="36">
        <f>2300+2000</f>
        <v>4300</v>
      </c>
      <c r="V19" s="36">
        <f>+IFERROR(VLOOKUP(C19,[3]Sheet1!E$3:N$919,5,0)," ")</f>
        <v>11998.23</v>
      </c>
      <c r="W19" s="36">
        <f>+IFERROR(VLOOKUP(C19,[3]Sheet1!E$3:N$919,10,0)," ")</f>
        <v>8106.5</v>
      </c>
      <c r="X19" s="36">
        <f>+IFERROR(VLOOKUP(C19,[3]Sheet1!E$3:N$919,9,0)," ")</f>
        <v>0</v>
      </c>
      <c r="Y19" s="3">
        <f t="shared" si="16"/>
        <v>24404.73</v>
      </c>
      <c r="Z19" s="35"/>
      <c r="AA19" s="35"/>
      <c r="AB19" s="35"/>
      <c r="AC19" s="35">
        <f t="shared" si="11"/>
        <v>0</v>
      </c>
      <c r="AD19" s="36">
        <f>+IFERROR(VLOOKUP(C19,[3]Sheet1!E$3:N$919,6,0)," ")</f>
        <v>1390.34</v>
      </c>
      <c r="AE19" s="37"/>
      <c r="AF19" s="38"/>
      <c r="AG19" s="35">
        <f t="shared" si="12"/>
        <v>1390.34</v>
      </c>
      <c r="AH19" s="3">
        <f t="shared" si="17"/>
        <v>1396.9802999999999</v>
      </c>
      <c r="AI19" s="35"/>
      <c r="AJ19" s="35">
        <f t="shared" si="13"/>
        <v>1396.9802999999999</v>
      </c>
      <c r="AK19" s="36"/>
      <c r="AM19" s="35"/>
      <c r="AN19" s="4">
        <f t="shared" si="14"/>
        <v>33711.291700000002</v>
      </c>
      <c r="AO19" s="3">
        <f t="shared" si="18"/>
        <v>12854.7183</v>
      </c>
      <c r="AP19" s="39">
        <f t="shared" si="19"/>
        <v>0.27605367734963765</v>
      </c>
      <c r="AQ19" s="5">
        <f>+'[1]Project Master'!AC18</f>
        <v>11622.7556</v>
      </c>
      <c r="AR19" s="6">
        <f t="shared" si="20"/>
        <v>34943.254400000005</v>
      </c>
      <c r="AS19" s="40">
        <f t="shared" si="21"/>
        <v>0.75040258763849432</v>
      </c>
      <c r="AT19" s="41">
        <f t="shared" si="22"/>
        <v>22088.536100000001</v>
      </c>
      <c r="AU19" s="39">
        <f t="shared" si="23"/>
        <v>-0.47434891028885667</v>
      </c>
    </row>
    <row r="20" spans="1:47" x14ac:dyDescent="0.25">
      <c r="A20" t="s">
        <v>61</v>
      </c>
      <c r="B20" s="2">
        <v>1082</v>
      </c>
      <c r="C20" t="s">
        <v>137</v>
      </c>
      <c r="D20" t="s">
        <v>71</v>
      </c>
      <c r="G20" t="s">
        <v>63</v>
      </c>
      <c r="H20" t="s">
        <v>189</v>
      </c>
      <c r="I20" t="s">
        <v>185</v>
      </c>
      <c r="L20" s="32">
        <f>+VLOOKUP(C20,'[2]January 2026'!E$13:K$73,7,0)</f>
        <v>60192.367301999926</v>
      </c>
      <c r="M20" s="33" t="str">
        <f>+VLOOKUP(C20,'[2]January 2026'!E$13:N$73,10,0)</f>
        <v>INVOICE-4836</v>
      </c>
      <c r="N20" s="34">
        <v>0.03</v>
      </c>
      <c r="O20" s="35">
        <f t="shared" si="7"/>
        <v>1805.7710190599978</v>
      </c>
      <c r="P20" s="34"/>
      <c r="Q20" s="35">
        <f t="shared" si="15"/>
        <v>0</v>
      </c>
      <c r="R20" s="35">
        <f t="shared" si="8"/>
        <v>3009.6183650999965</v>
      </c>
      <c r="S20" s="35">
        <f t="shared" si="9"/>
        <v>3009.6183650999965</v>
      </c>
      <c r="T20" s="35">
        <f t="shared" si="10"/>
        <v>601.92367301999923</v>
      </c>
      <c r="U20" s="36">
        <f>8247+8194</f>
        <v>16441</v>
      </c>
      <c r="V20" s="36">
        <f>+IFERROR(VLOOKUP(C20,[3]Sheet1!E$3:N$919,5,0)," ")</f>
        <v>0</v>
      </c>
      <c r="W20" s="36">
        <f>+IFERROR(VLOOKUP(C20,[3]Sheet1!E$3:N$919,10,0)," ")</f>
        <v>33610.78</v>
      </c>
      <c r="X20" s="36">
        <f>+IFERROR(VLOOKUP(C20,[3]Sheet1!E$3:N$919,9,0)," ")</f>
        <v>0</v>
      </c>
      <c r="Y20" s="3">
        <f t="shared" si="16"/>
        <v>50051.78</v>
      </c>
      <c r="Z20" s="35"/>
      <c r="AA20" s="35"/>
      <c r="AB20" s="35"/>
      <c r="AC20" s="35">
        <f t="shared" si="11"/>
        <v>0</v>
      </c>
      <c r="AD20" s="36">
        <f>+IFERROR(VLOOKUP(C20,[3]Sheet1!E$3:N$919,6,0)," ")</f>
        <v>4670.95</v>
      </c>
      <c r="AE20" s="37"/>
      <c r="AF20" s="38"/>
      <c r="AG20" s="35">
        <f t="shared" si="12"/>
        <v>4670.95</v>
      </c>
      <c r="AH20" s="3">
        <f t="shared" si="17"/>
        <v>1805.7710190599978</v>
      </c>
      <c r="AI20" s="35"/>
      <c r="AJ20" s="35">
        <f t="shared" si="13"/>
        <v>1805.7710190599978</v>
      </c>
      <c r="AK20" s="36"/>
      <c r="AM20" s="35"/>
      <c r="AN20" s="4">
        <f t="shared" si="14"/>
        <v>64955.432441339988</v>
      </c>
      <c r="AO20" s="3">
        <f t="shared" si="18"/>
        <v>-4763.0651393400622</v>
      </c>
      <c r="AP20" s="39">
        <f t="shared" si="19"/>
        <v>-7.9130716282391614E-2</v>
      </c>
      <c r="AQ20" s="5">
        <f>+'[1]Project Master'!AC19</f>
        <v>21462.109600000003</v>
      </c>
      <c r="AR20" s="6">
        <f t="shared" si="20"/>
        <v>38730.257701999923</v>
      </c>
      <c r="AS20" s="40">
        <f t="shared" si="21"/>
        <v>0.64344134377836781</v>
      </c>
      <c r="AT20" s="41">
        <f t="shared" si="22"/>
        <v>43493.322841339985</v>
      </c>
      <c r="AU20" s="39">
        <f t="shared" si="23"/>
        <v>-0.72257206006075947</v>
      </c>
    </row>
    <row r="21" spans="1:47" x14ac:dyDescent="0.25">
      <c r="A21" t="s">
        <v>61</v>
      </c>
      <c r="B21" s="2">
        <v>1083</v>
      </c>
      <c r="C21" t="s">
        <v>138</v>
      </c>
      <c r="D21" t="s">
        <v>72</v>
      </c>
      <c r="G21" t="s">
        <v>63</v>
      </c>
      <c r="H21" t="s">
        <v>189</v>
      </c>
      <c r="I21" t="s">
        <v>185</v>
      </c>
      <c r="L21" s="32">
        <f>+VLOOKUP(C21,'[2]January 2026'!E$13:K$73,7,0)</f>
        <v>12633.43</v>
      </c>
      <c r="M21" s="33" t="str">
        <f>+VLOOKUP(C21,'[2]January 2026'!E$13:N$73,10,0)</f>
        <v>INVOICE-4837</v>
      </c>
      <c r="N21" s="34">
        <v>0.03</v>
      </c>
      <c r="O21" s="35">
        <f t="shared" si="7"/>
        <v>379.00290000000001</v>
      </c>
      <c r="P21" s="34"/>
      <c r="Q21" s="35">
        <f t="shared" si="15"/>
        <v>0</v>
      </c>
      <c r="R21" s="35">
        <f t="shared" si="8"/>
        <v>631.67150000000004</v>
      </c>
      <c r="S21" s="35">
        <f t="shared" si="9"/>
        <v>631.67150000000004</v>
      </c>
      <c r="T21" s="35">
        <f t="shared" si="10"/>
        <v>126.3343</v>
      </c>
      <c r="U21" s="36"/>
      <c r="V21" s="36">
        <f>+IFERROR(VLOOKUP(C21,[3]Sheet1!E$3:N$919,5,0)," ")</f>
        <v>0</v>
      </c>
      <c r="W21" s="36">
        <f>+IFERROR(VLOOKUP(C21,[3]Sheet1!E$3:N$919,10,0)," ")</f>
        <v>4510</v>
      </c>
      <c r="X21" s="36">
        <f>+IFERROR(VLOOKUP(C21,[3]Sheet1!E$3:N$919,9,0)," ")</f>
        <v>0</v>
      </c>
      <c r="Y21" s="3">
        <f t="shared" si="16"/>
        <v>4510</v>
      </c>
      <c r="Z21" s="35"/>
      <c r="AA21" s="35"/>
      <c r="AB21" s="35"/>
      <c r="AC21" s="35">
        <f t="shared" si="11"/>
        <v>0</v>
      </c>
      <c r="AD21" s="36">
        <f>+IFERROR(VLOOKUP(C21,[3]Sheet1!E$3:N$919,6,0)," ")</f>
        <v>736.51</v>
      </c>
      <c r="AE21" s="37"/>
      <c r="AF21" s="38"/>
      <c r="AG21">
        <v>0</v>
      </c>
      <c r="AH21" s="3">
        <f t="shared" si="17"/>
        <v>379.00290000000001</v>
      </c>
      <c r="AI21" s="35"/>
      <c r="AJ21" s="35">
        <f t="shared" si="13"/>
        <v>379.00290000000001</v>
      </c>
      <c r="AK21" s="36"/>
      <c r="AM21" s="35"/>
      <c r="AN21" s="4">
        <f t="shared" si="14"/>
        <v>6657.683100000002</v>
      </c>
      <c r="AO21" s="3">
        <f t="shared" si="18"/>
        <v>5975.7468999999983</v>
      </c>
      <c r="AP21" s="39">
        <f t="shared" si="19"/>
        <v>0.47301064714808239</v>
      </c>
      <c r="AQ21" s="5">
        <f>+'[1]Project Master'!AC20</f>
        <v>322</v>
      </c>
      <c r="AR21" s="6">
        <f t="shared" si="20"/>
        <v>12311.43</v>
      </c>
      <c r="AS21" s="40">
        <f t="shared" si="21"/>
        <v>0.97451206837731319</v>
      </c>
      <c r="AT21" s="41">
        <f t="shared" si="22"/>
        <v>6335.683100000002</v>
      </c>
      <c r="AU21" s="39">
        <f t="shared" si="23"/>
        <v>-0.5015014212292308</v>
      </c>
    </row>
    <row r="22" spans="1:47" x14ac:dyDescent="0.25">
      <c r="A22" t="s">
        <v>61</v>
      </c>
      <c r="B22" s="2">
        <v>1084</v>
      </c>
      <c r="C22" t="s">
        <v>139</v>
      </c>
      <c r="D22" t="s">
        <v>73</v>
      </c>
      <c r="G22" t="s">
        <v>63</v>
      </c>
      <c r="H22" t="s">
        <v>189</v>
      </c>
      <c r="I22" t="s">
        <v>186</v>
      </c>
      <c r="L22" s="32">
        <f>+VLOOKUP(C22,'[2]January 2026'!E$13:K$73,7,0)</f>
        <v>23328.38</v>
      </c>
      <c r="M22" s="33" t="str">
        <f>+VLOOKUP(C22,'[2]January 2026'!E$13:N$73,10,0)</f>
        <v>INVOICE-4838</v>
      </c>
      <c r="N22" s="34">
        <v>0.03</v>
      </c>
      <c r="O22" s="35">
        <f t="shared" si="7"/>
        <v>699.85140000000001</v>
      </c>
      <c r="P22" s="34"/>
      <c r="Q22" s="35">
        <f t="shared" si="15"/>
        <v>0</v>
      </c>
      <c r="R22" s="35">
        <f t="shared" si="8"/>
        <v>1166.4190000000001</v>
      </c>
      <c r="S22" s="35">
        <f t="shared" si="9"/>
        <v>1166.4190000000001</v>
      </c>
      <c r="T22" s="35">
        <f t="shared" si="10"/>
        <v>233.28380000000001</v>
      </c>
      <c r="U22" s="36"/>
      <c r="V22" s="36">
        <f>+IFERROR(VLOOKUP(C22,[3]Sheet1!E$3:N$919,5,0)," ")</f>
        <v>85.999999999999986</v>
      </c>
      <c r="W22" s="36">
        <f>+IFERROR(VLOOKUP(C22,[3]Sheet1!E$3:N$919,10,0)," ")</f>
        <v>0</v>
      </c>
      <c r="X22" s="36">
        <f>+IFERROR(VLOOKUP(C22,[3]Sheet1!E$3:N$919,9,0)," ")</f>
        <v>0</v>
      </c>
      <c r="Y22" s="3">
        <f t="shared" si="16"/>
        <v>85.999999999999986</v>
      </c>
      <c r="Z22" s="35"/>
      <c r="AA22" s="35"/>
      <c r="AB22" s="35"/>
      <c r="AC22" s="35">
        <f t="shared" si="11"/>
        <v>0</v>
      </c>
      <c r="AD22" s="36">
        <f>+IFERROR(VLOOKUP(C22,[3]Sheet1!E$3:N$919,6,0)," ")</f>
        <v>2013.4900000000002</v>
      </c>
      <c r="AE22" s="37"/>
      <c r="AF22" s="38"/>
      <c r="AG22" s="35">
        <f t="shared" si="12"/>
        <v>2013.4900000000002</v>
      </c>
      <c r="AH22" s="3">
        <f t="shared" si="17"/>
        <v>699.85140000000001</v>
      </c>
      <c r="AI22" s="35"/>
      <c r="AJ22" s="35">
        <f t="shared" si="13"/>
        <v>699.85140000000001</v>
      </c>
      <c r="AK22" s="36"/>
      <c r="AM22" s="35"/>
      <c r="AN22" s="4">
        <f t="shared" si="14"/>
        <v>6065.3145999999997</v>
      </c>
      <c r="AO22" s="3">
        <f t="shared" si="18"/>
        <v>17263.065399999999</v>
      </c>
      <c r="AP22" s="39">
        <f t="shared" si="19"/>
        <v>0.74000275201278443</v>
      </c>
      <c r="AQ22" s="5">
        <f>+'[1]Project Master'!AC21</f>
        <v>356.56439999999992</v>
      </c>
      <c r="AR22" s="6">
        <f t="shared" si="20"/>
        <v>22971.815600000002</v>
      </c>
      <c r="AS22" s="40">
        <f t="shared" si="21"/>
        <v>0.98471542387426825</v>
      </c>
      <c r="AT22" s="41">
        <f t="shared" si="22"/>
        <v>5708.7501999999995</v>
      </c>
      <c r="AU22" s="39">
        <f t="shared" si="23"/>
        <v>-0.24471267186148382</v>
      </c>
    </row>
    <row r="23" spans="1:47" x14ac:dyDescent="0.25">
      <c r="A23" t="s">
        <v>61</v>
      </c>
      <c r="B23" s="2">
        <v>1085</v>
      </c>
      <c r="C23" t="s">
        <v>140</v>
      </c>
      <c r="D23" t="s">
        <v>74</v>
      </c>
      <c r="G23" t="s">
        <v>63</v>
      </c>
      <c r="H23" t="s">
        <v>189</v>
      </c>
      <c r="I23" t="s">
        <v>185</v>
      </c>
      <c r="L23" s="32">
        <f>+VLOOKUP(C23,'[2]January 2026'!E$13:K$73,7,0)</f>
        <v>387.57</v>
      </c>
      <c r="M23" s="33" t="str">
        <f>+VLOOKUP(C23,'[2]January 2026'!E$13:N$73,10,0)</f>
        <v>INVOICE-4839</v>
      </c>
      <c r="N23" s="34">
        <v>0.03</v>
      </c>
      <c r="O23" s="35">
        <f t="shared" si="7"/>
        <v>11.627099999999999</v>
      </c>
      <c r="P23" s="34"/>
      <c r="Q23" s="35">
        <f t="shared" si="15"/>
        <v>0</v>
      </c>
      <c r="R23" s="35">
        <f t="shared" si="8"/>
        <v>19.378500000000003</v>
      </c>
      <c r="S23" s="35">
        <f t="shared" si="9"/>
        <v>19.378500000000003</v>
      </c>
      <c r="T23" s="35">
        <f t="shared" si="10"/>
        <v>3.8757000000000001</v>
      </c>
      <c r="U23" s="36"/>
      <c r="V23" s="36">
        <f>+IFERROR(VLOOKUP(C23,[3]Sheet1!E$3:N$919,5,0)," ")</f>
        <v>0</v>
      </c>
      <c r="W23" s="36">
        <f>+IFERROR(VLOOKUP(C23,[3]Sheet1!E$3:N$919,10,0)," ")</f>
        <v>0</v>
      </c>
      <c r="X23" s="36">
        <f>+IFERROR(VLOOKUP(C23,[3]Sheet1!E$3:N$919,9,0)," ")</f>
        <v>0</v>
      </c>
      <c r="Y23" s="3">
        <f t="shared" si="16"/>
        <v>0</v>
      </c>
      <c r="Z23" s="35"/>
      <c r="AA23" s="35"/>
      <c r="AB23" s="35"/>
      <c r="AC23" s="35">
        <f t="shared" si="11"/>
        <v>0</v>
      </c>
      <c r="AD23" s="36">
        <f>+IFERROR(VLOOKUP(C23,[3]Sheet1!E$3:N$919,6,0)," ")</f>
        <v>0</v>
      </c>
      <c r="AE23" s="37"/>
      <c r="AF23" s="38"/>
      <c r="AG23" s="35">
        <v>0</v>
      </c>
      <c r="AH23" s="3">
        <f t="shared" si="17"/>
        <v>11.627099999999999</v>
      </c>
      <c r="AI23" s="35"/>
      <c r="AJ23" s="35">
        <f t="shared" si="13"/>
        <v>11.627099999999999</v>
      </c>
      <c r="AK23" s="36"/>
      <c r="AM23" s="35"/>
      <c r="AN23" s="4">
        <f t="shared" si="14"/>
        <v>65.886899999999997</v>
      </c>
      <c r="AO23" s="3">
        <f t="shared" si="18"/>
        <v>321.68309999999997</v>
      </c>
      <c r="AP23" s="39">
        <f t="shared" si="19"/>
        <v>0.83</v>
      </c>
      <c r="AQ23" s="5">
        <f>+'[1]Project Master'!AC22</f>
        <v>82.800000000000011</v>
      </c>
      <c r="AR23" s="6">
        <f t="shared" si="20"/>
        <v>304.77</v>
      </c>
      <c r="AS23" s="40">
        <f t="shared" si="21"/>
        <v>0.78636117346543843</v>
      </c>
      <c r="AT23" s="41">
        <f t="shared" si="22"/>
        <v>-16.913100000000014</v>
      </c>
      <c r="AU23" s="39">
        <f t="shared" si="23"/>
        <v>4.3638826534561526E-2</v>
      </c>
    </row>
    <row r="24" spans="1:47" x14ac:dyDescent="0.25">
      <c r="A24" t="s">
        <v>61</v>
      </c>
      <c r="B24" s="2">
        <v>1086</v>
      </c>
      <c r="C24" t="s">
        <v>141</v>
      </c>
      <c r="D24" t="s">
        <v>69</v>
      </c>
      <c r="G24" t="s">
        <v>63</v>
      </c>
      <c r="H24" t="s">
        <v>189</v>
      </c>
      <c r="I24" t="s">
        <v>186</v>
      </c>
      <c r="L24" s="32">
        <f>+VLOOKUP(C24,'[2]January 2026'!E$13:K$73,7,0)</f>
        <v>350</v>
      </c>
      <c r="M24" s="33" t="str">
        <f>+VLOOKUP(C24,'[2]January 2026'!E$13:N$73,10,0)</f>
        <v>INVOICE-4840</v>
      </c>
      <c r="N24" s="34"/>
      <c r="O24" s="35">
        <f t="shared" si="7"/>
        <v>0</v>
      </c>
      <c r="P24" s="43"/>
      <c r="Q24" s="35">
        <f t="shared" si="15"/>
        <v>0</v>
      </c>
      <c r="R24" s="35">
        <f t="shared" si="8"/>
        <v>17.5</v>
      </c>
      <c r="S24" s="35">
        <f t="shared" si="9"/>
        <v>17.5</v>
      </c>
      <c r="T24" s="35">
        <f t="shared" si="10"/>
        <v>3.5</v>
      </c>
      <c r="U24" s="36"/>
      <c r="V24" s="36">
        <f>+IFERROR(VLOOKUP(C24,[3]Sheet1!E$3:N$919,5,0)," ")</f>
        <v>0</v>
      </c>
      <c r="W24" s="36">
        <f>+IFERROR(VLOOKUP(C24,[3]Sheet1!E$3:N$919,10,0)," ")</f>
        <v>0</v>
      </c>
      <c r="X24" s="36">
        <f>+IFERROR(VLOOKUP(C24,[3]Sheet1!E$3:N$919,9,0)," ")</f>
        <v>0</v>
      </c>
      <c r="Y24" s="3">
        <f t="shared" si="16"/>
        <v>0</v>
      </c>
      <c r="Z24" s="35"/>
      <c r="AA24" s="35"/>
      <c r="AB24" s="35"/>
      <c r="AC24" s="35">
        <f t="shared" si="11"/>
        <v>0</v>
      </c>
      <c r="AD24" s="36">
        <f>+IFERROR(VLOOKUP(C24,[3]Sheet1!E$3:N$919,6,0)," ")</f>
        <v>0</v>
      </c>
      <c r="AE24" s="37"/>
      <c r="AF24" s="38"/>
      <c r="AG24" s="35">
        <f t="shared" si="12"/>
        <v>0</v>
      </c>
      <c r="AH24" s="3">
        <f t="shared" si="17"/>
        <v>10.5</v>
      </c>
      <c r="AI24" s="35"/>
      <c r="AJ24" s="35">
        <f t="shared" si="13"/>
        <v>10.5</v>
      </c>
      <c r="AK24" s="36"/>
      <c r="AM24" s="35"/>
      <c r="AN24" s="4">
        <f t="shared" si="14"/>
        <v>49</v>
      </c>
      <c r="AO24" s="3">
        <f t="shared" si="18"/>
        <v>301</v>
      </c>
      <c r="AP24" s="39">
        <f t="shared" si="19"/>
        <v>0.86</v>
      </c>
      <c r="AQ24" s="5">
        <f>+'[1]Project Master'!AC23</f>
        <v>18.400000000000002</v>
      </c>
      <c r="AR24" s="6">
        <f t="shared" si="20"/>
        <v>331.6</v>
      </c>
      <c r="AS24" s="40">
        <f t="shared" si="21"/>
        <v>0.94742857142857151</v>
      </c>
      <c r="AT24" s="41">
        <f t="shared" si="22"/>
        <v>30.599999999999998</v>
      </c>
      <c r="AU24" s="39">
        <f t="shared" si="23"/>
        <v>-8.7428571428571522E-2</v>
      </c>
    </row>
    <row r="25" spans="1:47" x14ac:dyDescent="0.25">
      <c r="A25" t="s">
        <v>61</v>
      </c>
      <c r="B25" s="2">
        <v>1087</v>
      </c>
      <c r="C25" t="s">
        <v>142</v>
      </c>
      <c r="D25" t="s">
        <v>65</v>
      </c>
      <c r="G25" t="s">
        <v>63</v>
      </c>
      <c r="H25" t="s">
        <v>189</v>
      </c>
      <c r="I25" t="s">
        <v>185</v>
      </c>
      <c r="L25" s="32">
        <f>+VLOOKUP(C25,'[2]January 2026'!E$13:K$73,7,0)</f>
        <v>90</v>
      </c>
      <c r="M25" s="33" t="str">
        <f>+VLOOKUP(C25,'[2]January 2026'!E$13:N$73,10,0)</f>
        <v>INVOICE-4841</v>
      </c>
      <c r="N25" s="34"/>
      <c r="O25" s="35">
        <f t="shared" si="7"/>
        <v>0</v>
      </c>
      <c r="P25" s="43"/>
      <c r="Q25" s="35">
        <f t="shared" si="15"/>
        <v>0</v>
      </c>
      <c r="R25" s="35">
        <f t="shared" si="8"/>
        <v>4.5</v>
      </c>
      <c r="S25" s="35">
        <f t="shared" si="9"/>
        <v>4.5</v>
      </c>
      <c r="T25" s="35">
        <f t="shared" si="10"/>
        <v>0.9</v>
      </c>
      <c r="U25" s="36"/>
      <c r="V25" s="36">
        <f>+IFERROR(VLOOKUP(C25,[3]Sheet1!E$3:N$919,5,0)," ")</f>
        <v>0</v>
      </c>
      <c r="W25" s="36">
        <f>+IFERROR(VLOOKUP(C25,[3]Sheet1!E$3:N$919,10,0)," ")</f>
        <v>0</v>
      </c>
      <c r="X25" s="36">
        <f>+IFERROR(VLOOKUP(C25,[3]Sheet1!E$3:N$919,9,0)," ")</f>
        <v>0</v>
      </c>
      <c r="Y25" s="3">
        <f t="shared" si="16"/>
        <v>0</v>
      </c>
      <c r="Z25" s="35"/>
      <c r="AA25" s="35"/>
      <c r="AB25" s="35"/>
      <c r="AC25" s="35">
        <f t="shared" si="11"/>
        <v>0</v>
      </c>
      <c r="AD25" s="36">
        <f>+IFERROR(VLOOKUP(C25,[3]Sheet1!E$3:N$919,6,0)," ")</f>
        <v>0</v>
      </c>
      <c r="AE25" s="37"/>
      <c r="AF25" s="38"/>
      <c r="AG25" s="35">
        <f t="shared" si="12"/>
        <v>0</v>
      </c>
      <c r="AH25" s="3">
        <f t="shared" si="17"/>
        <v>2.6999999999999997</v>
      </c>
      <c r="AI25" s="35"/>
      <c r="AJ25" s="35">
        <f t="shared" si="13"/>
        <v>2.6999999999999997</v>
      </c>
      <c r="AK25" s="36"/>
      <c r="AM25" s="35"/>
      <c r="AN25" s="4">
        <f t="shared" si="14"/>
        <v>12.6</v>
      </c>
      <c r="AO25" s="3">
        <f t="shared" si="18"/>
        <v>77.400000000000006</v>
      </c>
      <c r="AP25" s="39">
        <f t="shared" si="19"/>
        <v>0.8600000000000001</v>
      </c>
      <c r="AQ25" s="5">
        <f>+'[1]Project Master'!AC24</f>
        <v>32.200000000000003</v>
      </c>
      <c r="AR25" s="6">
        <f t="shared" si="20"/>
        <v>57.8</v>
      </c>
      <c r="AS25" s="40">
        <f t="shared" si="21"/>
        <v>0.64222222222222214</v>
      </c>
      <c r="AT25" s="41">
        <f t="shared" si="22"/>
        <v>-19.600000000000001</v>
      </c>
      <c r="AU25" s="39">
        <f t="shared" si="23"/>
        <v>0.21777777777777796</v>
      </c>
    </row>
    <row r="26" spans="1:47" x14ac:dyDescent="0.25">
      <c r="A26" t="s">
        <v>61</v>
      </c>
      <c r="B26" s="2">
        <v>1088</v>
      </c>
      <c r="C26" t="s">
        <v>143</v>
      </c>
      <c r="D26" t="s">
        <v>75</v>
      </c>
      <c r="G26" t="s">
        <v>63</v>
      </c>
      <c r="H26" t="s">
        <v>189</v>
      </c>
      <c r="I26" t="s">
        <v>185</v>
      </c>
      <c r="L26" s="32">
        <f>+VLOOKUP(C26,'[2]January 2026'!E$13:K$73,7,0)</f>
        <v>20</v>
      </c>
      <c r="M26" s="33" t="str">
        <f>+VLOOKUP(C26,'[2]January 2026'!E$13:N$73,10,0)</f>
        <v>INVOICE-4842</v>
      </c>
      <c r="N26" s="34"/>
      <c r="O26" s="35">
        <f t="shared" si="7"/>
        <v>0</v>
      </c>
      <c r="P26" s="43">
        <v>5.0000000000000001E-3</v>
      </c>
      <c r="Q26" s="35">
        <f t="shared" si="15"/>
        <v>0.1</v>
      </c>
      <c r="R26" s="35">
        <f t="shared" si="8"/>
        <v>1</v>
      </c>
      <c r="S26" s="35">
        <f t="shared" si="9"/>
        <v>1</v>
      </c>
      <c r="T26" s="35">
        <f t="shared" si="10"/>
        <v>0.2</v>
      </c>
      <c r="U26" s="36"/>
      <c r="V26" s="36">
        <f>+IFERROR(VLOOKUP(C26,[3]Sheet1!E$3:N$919,5,0)," ")</f>
        <v>0</v>
      </c>
      <c r="W26" s="36">
        <f>+IFERROR(VLOOKUP(C26,[3]Sheet1!E$3:N$919,10,0)," ")</f>
        <v>0</v>
      </c>
      <c r="X26" s="36">
        <f>+IFERROR(VLOOKUP(C26,[3]Sheet1!E$3:N$919,9,0)," ")</f>
        <v>0</v>
      </c>
      <c r="Y26" s="3">
        <f t="shared" si="16"/>
        <v>0</v>
      </c>
      <c r="Z26" s="35"/>
      <c r="AA26" s="35"/>
      <c r="AB26" s="35"/>
      <c r="AC26" s="35">
        <f t="shared" si="11"/>
        <v>0</v>
      </c>
      <c r="AD26" s="36">
        <f>+IFERROR(VLOOKUP(C26,[3]Sheet1!E$3:N$919,6,0)," ")</f>
        <v>0</v>
      </c>
      <c r="AE26" s="37"/>
      <c r="AF26" s="38"/>
      <c r="AG26" s="35">
        <f t="shared" si="12"/>
        <v>0</v>
      </c>
      <c r="AH26" s="3">
        <f t="shared" si="17"/>
        <v>0.6</v>
      </c>
      <c r="AI26" s="35"/>
      <c r="AJ26" s="35">
        <f t="shared" si="13"/>
        <v>0.6</v>
      </c>
      <c r="AK26" s="36"/>
      <c r="AM26" s="35"/>
      <c r="AN26" s="4">
        <f t="shared" si="14"/>
        <v>2.9</v>
      </c>
      <c r="AO26" s="3">
        <f t="shared" si="18"/>
        <v>17.100000000000001</v>
      </c>
      <c r="AP26" s="39">
        <f t="shared" si="19"/>
        <v>0.85500000000000009</v>
      </c>
      <c r="AQ26" s="5">
        <f>+'[1]Project Master'!AC25</f>
        <v>96.600000000000009</v>
      </c>
      <c r="AR26" s="6">
        <f t="shared" si="20"/>
        <v>-76.600000000000009</v>
      </c>
      <c r="AS26" s="40">
        <f t="shared" si="21"/>
        <v>-3.8300000000000005</v>
      </c>
      <c r="AT26" s="41">
        <f t="shared" si="22"/>
        <v>-93.7</v>
      </c>
      <c r="AU26" s="39">
        <f t="shared" si="23"/>
        <v>4.6850000000000005</v>
      </c>
    </row>
    <row r="27" spans="1:47" x14ac:dyDescent="0.25">
      <c r="A27" t="s">
        <v>61</v>
      </c>
      <c r="B27" s="2">
        <v>1089</v>
      </c>
      <c r="C27" t="s">
        <v>144</v>
      </c>
      <c r="D27" t="s">
        <v>76</v>
      </c>
      <c r="G27" t="s">
        <v>63</v>
      </c>
      <c r="H27" t="s">
        <v>189</v>
      </c>
      <c r="I27" t="s">
        <v>185</v>
      </c>
      <c r="L27" s="32">
        <f>+VLOOKUP(C27,'[2]January 2026'!E$13:K$73,7,0)</f>
        <v>35</v>
      </c>
      <c r="M27" s="33" t="str">
        <f>+VLOOKUP(C27,'[2]January 2026'!E$13:N$73,10,0)</f>
        <v>INVOICE-4843</v>
      </c>
      <c r="N27" s="34"/>
      <c r="O27" s="35">
        <f t="shared" si="7"/>
        <v>0</v>
      </c>
      <c r="P27" s="43">
        <v>5.0000000000000001E-3</v>
      </c>
      <c r="Q27" s="35">
        <f t="shared" si="15"/>
        <v>0.17500000000000002</v>
      </c>
      <c r="R27" s="35">
        <f t="shared" si="8"/>
        <v>1.75</v>
      </c>
      <c r="S27" s="35">
        <f t="shared" si="9"/>
        <v>1.75</v>
      </c>
      <c r="T27" s="35">
        <f t="shared" si="10"/>
        <v>0.35000000000000003</v>
      </c>
      <c r="U27" s="36"/>
      <c r="V27" s="36">
        <f>+IFERROR(VLOOKUP(C27,[3]Sheet1!E$3:N$919,5,0)," ")</f>
        <v>0</v>
      </c>
      <c r="W27" s="36">
        <f>+IFERROR(VLOOKUP(C27,[3]Sheet1!E$3:N$919,10,0)," ")</f>
        <v>0</v>
      </c>
      <c r="X27" s="36">
        <f>+IFERROR(VLOOKUP(C27,[3]Sheet1!E$3:N$919,9,0)," ")</f>
        <v>0</v>
      </c>
      <c r="Y27" s="3">
        <f t="shared" si="16"/>
        <v>0</v>
      </c>
      <c r="Z27" s="35"/>
      <c r="AA27" s="35"/>
      <c r="AB27" s="35"/>
      <c r="AC27" s="35">
        <f t="shared" si="11"/>
        <v>0</v>
      </c>
      <c r="AD27" s="36">
        <f>+IFERROR(VLOOKUP(C27,[3]Sheet1!E$3:N$919,6,0)," ")</f>
        <v>0</v>
      </c>
      <c r="AE27" s="37"/>
      <c r="AF27" s="38"/>
      <c r="AG27" s="35">
        <f t="shared" si="12"/>
        <v>0</v>
      </c>
      <c r="AH27" s="3">
        <f t="shared" si="17"/>
        <v>1.05</v>
      </c>
      <c r="AI27" s="35"/>
      <c r="AJ27" s="35">
        <f t="shared" si="13"/>
        <v>1.05</v>
      </c>
      <c r="AK27" s="36"/>
      <c r="AM27" s="35"/>
      <c r="AN27" s="4">
        <f t="shared" si="14"/>
        <v>5.0750000000000002</v>
      </c>
      <c r="AO27" s="3">
        <f t="shared" si="18"/>
        <v>29.925000000000001</v>
      </c>
      <c r="AP27" s="39">
        <f t="shared" si="19"/>
        <v>0.85499999999999998</v>
      </c>
      <c r="AQ27" s="5">
        <f>+'[1]Project Master'!AC26</f>
        <v>276</v>
      </c>
      <c r="AR27" s="6">
        <f t="shared" si="20"/>
        <v>-241</v>
      </c>
      <c r="AS27" s="40">
        <f t="shared" si="21"/>
        <v>-6.8857142857142861</v>
      </c>
      <c r="AT27" s="41">
        <f t="shared" si="22"/>
        <v>-270.92500000000001</v>
      </c>
      <c r="AU27" s="39">
        <f t="shared" si="23"/>
        <v>7.7407142857142865</v>
      </c>
    </row>
    <row r="28" spans="1:47" x14ac:dyDescent="0.25">
      <c r="A28" t="s">
        <v>61</v>
      </c>
      <c r="B28" s="2">
        <v>1090</v>
      </c>
      <c r="C28" t="s">
        <v>145</v>
      </c>
      <c r="D28" t="s">
        <v>77</v>
      </c>
      <c r="G28" t="s">
        <v>63</v>
      </c>
      <c r="H28" t="s">
        <v>189</v>
      </c>
      <c r="I28" t="s">
        <v>185</v>
      </c>
      <c r="L28" s="32">
        <f>+VLOOKUP(C28,'[2]January 2026'!E$13:K$73,7,0)</f>
        <v>105</v>
      </c>
      <c r="M28" s="33" t="str">
        <f>+VLOOKUP(C28,'[2]January 2026'!E$13:N$73,10,0)</f>
        <v>INVOICE-4844</v>
      </c>
      <c r="N28" s="34"/>
      <c r="O28" s="35">
        <f t="shared" si="7"/>
        <v>0</v>
      </c>
      <c r="P28" s="43">
        <v>5.0000000000000001E-3</v>
      </c>
      <c r="Q28" s="35">
        <f t="shared" si="15"/>
        <v>0.52500000000000002</v>
      </c>
      <c r="R28" s="35">
        <f t="shared" si="8"/>
        <v>5.25</v>
      </c>
      <c r="S28" s="35">
        <f t="shared" si="9"/>
        <v>5.25</v>
      </c>
      <c r="T28" s="35">
        <f t="shared" si="10"/>
        <v>1.05</v>
      </c>
      <c r="U28" s="36"/>
      <c r="V28" s="36">
        <f>+IFERROR(VLOOKUP(C28,[3]Sheet1!E$3:N$919,5,0)," ")</f>
        <v>0</v>
      </c>
      <c r="W28" s="36">
        <f>+IFERROR(VLOOKUP(C28,[3]Sheet1!E$3:N$919,10,0)," ")</f>
        <v>0</v>
      </c>
      <c r="X28" s="36">
        <f>+IFERROR(VLOOKUP(C28,[3]Sheet1!E$3:N$919,9,0)," ")</f>
        <v>0</v>
      </c>
      <c r="Y28" s="3">
        <f t="shared" si="16"/>
        <v>0</v>
      </c>
      <c r="Z28" s="35"/>
      <c r="AA28" s="35"/>
      <c r="AB28" s="35"/>
      <c r="AC28" s="35">
        <f t="shared" si="11"/>
        <v>0</v>
      </c>
      <c r="AD28" s="36">
        <f>+IFERROR(VLOOKUP(C28,[3]Sheet1!E$3:N$919,6,0)," ")</f>
        <v>0</v>
      </c>
      <c r="AE28" s="37"/>
      <c r="AF28" s="38"/>
      <c r="AG28" s="35">
        <f t="shared" si="12"/>
        <v>0</v>
      </c>
      <c r="AH28" s="3">
        <f t="shared" si="17"/>
        <v>3.15</v>
      </c>
      <c r="AI28" s="35"/>
      <c r="AJ28" s="35">
        <f t="shared" si="13"/>
        <v>3.15</v>
      </c>
      <c r="AK28" s="36"/>
      <c r="AM28" s="35"/>
      <c r="AN28" s="4">
        <f t="shared" si="14"/>
        <v>15.225</v>
      </c>
      <c r="AO28" s="3">
        <f t="shared" si="18"/>
        <v>89.775000000000006</v>
      </c>
      <c r="AP28" s="39">
        <f t="shared" si="19"/>
        <v>0.85500000000000009</v>
      </c>
      <c r="AQ28" s="5">
        <f>+'[1]Project Master'!AC27</f>
        <v>216.20000000000002</v>
      </c>
      <c r="AR28" s="6">
        <f t="shared" si="20"/>
        <v>-111.20000000000002</v>
      </c>
      <c r="AS28" s="40">
        <f t="shared" si="21"/>
        <v>-1.0590476190476192</v>
      </c>
      <c r="AT28" s="41">
        <f t="shared" si="22"/>
        <v>-200.97500000000002</v>
      </c>
      <c r="AU28" s="39">
        <f t="shared" si="23"/>
        <v>1.9140476190476194</v>
      </c>
    </row>
    <row r="29" spans="1:47" x14ac:dyDescent="0.25">
      <c r="A29" t="s">
        <v>61</v>
      </c>
      <c r="B29" s="2">
        <v>1091</v>
      </c>
      <c r="C29" t="s">
        <v>146</v>
      </c>
      <c r="D29" t="s">
        <v>65</v>
      </c>
      <c r="G29" t="s">
        <v>63</v>
      </c>
      <c r="H29" t="s">
        <v>189</v>
      </c>
      <c r="I29" t="s">
        <v>185</v>
      </c>
      <c r="L29" s="32">
        <f>+VLOOKUP(C29,'[2]January 2026'!E$13:K$73,7,0)</f>
        <v>300</v>
      </c>
      <c r="M29" s="33" t="str">
        <f>+VLOOKUP(C29,'[2]January 2026'!E$13:N$73,10,0)</f>
        <v>INVOICE-4845</v>
      </c>
      <c r="N29" s="34"/>
      <c r="O29" s="35">
        <f t="shared" si="7"/>
        <v>0</v>
      </c>
      <c r="P29" s="34"/>
      <c r="Q29" s="35">
        <f t="shared" si="15"/>
        <v>0</v>
      </c>
      <c r="R29" s="35">
        <f t="shared" si="8"/>
        <v>15</v>
      </c>
      <c r="S29" s="35">
        <f t="shared" si="9"/>
        <v>15</v>
      </c>
      <c r="T29" s="35">
        <f t="shared" si="10"/>
        <v>3</v>
      </c>
      <c r="U29" s="36"/>
      <c r="V29" s="36">
        <f>+IFERROR(VLOOKUP(C29,[3]Sheet1!E$3:N$919,5,0)," ")</f>
        <v>0</v>
      </c>
      <c r="W29" s="36">
        <f>+IFERROR(VLOOKUP(C29,[3]Sheet1!E$3:N$919,10,0)," ")</f>
        <v>0</v>
      </c>
      <c r="X29" s="36">
        <f>+IFERROR(VLOOKUP(C29,[3]Sheet1!E$3:N$919,9,0)," ")</f>
        <v>0</v>
      </c>
      <c r="Y29" s="3">
        <f t="shared" si="16"/>
        <v>0</v>
      </c>
      <c r="Z29" s="35"/>
      <c r="AA29" s="35"/>
      <c r="AB29" s="35"/>
      <c r="AC29" s="35">
        <f t="shared" si="11"/>
        <v>0</v>
      </c>
      <c r="AD29" s="36">
        <f>+IFERROR(VLOOKUP(C29,[3]Sheet1!E$3:N$919,6,0)," ")</f>
        <v>0</v>
      </c>
      <c r="AE29" s="37"/>
      <c r="AF29" s="38"/>
      <c r="AG29" s="35">
        <f t="shared" si="12"/>
        <v>0</v>
      </c>
      <c r="AH29" s="3">
        <f t="shared" si="17"/>
        <v>9</v>
      </c>
      <c r="AI29" s="35"/>
      <c r="AJ29" s="35">
        <f t="shared" si="13"/>
        <v>9</v>
      </c>
      <c r="AK29" s="36"/>
      <c r="AM29" s="35"/>
      <c r="AN29" s="4">
        <f t="shared" si="14"/>
        <v>42</v>
      </c>
      <c r="AO29" s="3">
        <f t="shared" si="18"/>
        <v>258</v>
      </c>
      <c r="AP29" s="39">
        <f t="shared" si="19"/>
        <v>0.86</v>
      </c>
      <c r="AQ29" s="5">
        <f>+'[1]Project Master'!AC28</f>
        <v>184</v>
      </c>
      <c r="AR29" s="6">
        <f t="shared" si="20"/>
        <v>116</v>
      </c>
      <c r="AS29" s="40">
        <f t="shared" si="21"/>
        <v>0.38666666666666666</v>
      </c>
      <c r="AT29" s="41">
        <f t="shared" si="22"/>
        <v>-142</v>
      </c>
      <c r="AU29" s="39">
        <f t="shared" si="23"/>
        <v>0.47333333333333333</v>
      </c>
    </row>
    <row r="30" spans="1:47" x14ac:dyDescent="0.25">
      <c r="A30" t="s">
        <v>61</v>
      </c>
      <c r="B30" s="2">
        <v>1092</v>
      </c>
      <c r="C30" t="s">
        <v>147</v>
      </c>
      <c r="D30" t="s">
        <v>65</v>
      </c>
      <c r="G30" t="s">
        <v>63</v>
      </c>
      <c r="H30" t="s">
        <v>189</v>
      </c>
      <c r="I30" t="s">
        <v>185</v>
      </c>
      <c r="L30" s="32">
        <f>+VLOOKUP(C30,'[2]January 2026'!E$13:K$73,7,0)</f>
        <v>235</v>
      </c>
      <c r="M30" s="33" t="str">
        <f>+VLOOKUP(C30,'[2]January 2026'!E$13:N$73,10,0)</f>
        <v>INVOICE-4846</v>
      </c>
      <c r="N30" s="34"/>
      <c r="O30" s="35">
        <f t="shared" si="7"/>
        <v>0</v>
      </c>
      <c r="P30" s="34"/>
      <c r="Q30" s="35">
        <f t="shared" si="15"/>
        <v>0</v>
      </c>
      <c r="R30" s="35">
        <f t="shared" si="8"/>
        <v>11.75</v>
      </c>
      <c r="S30" s="35">
        <f t="shared" si="9"/>
        <v>11.75</v>
      </c>
      <c r="T30" s="35">
        <f t="shared" si="10"/>
        <v>2.35</v>
      </c>
      <c r="U30" s="36"/>
      <c r="V30" s="36">
        <f>+IFERROR(VLOOKUP(C30,[3]Sheet1!E$3:N$919,5,0)," ")</f>
        <v>0</v>
      </c>
      <c r="W30" s="36">
        <f>+IFERROR(VLOOKUP(C30,[3]Sheet1!E$3:N$919,10,0)," ")</f>
        <v>0</v>
      </c>
      <c r="X30" s="36">
        <f>+IFERROR(VLOOKUP(C30,[3]Sheet1!E$3:N$919,9,0)," ")</f>
        <v>0</v>
      </c>
      <c r="Y30" s="3">
        <f t="shared" si="16"/>
        <v>0</v>
      </c>
      <c r="Z30" s="35"/>
      <c r="AA30" s="35"/>
      <c r="AB30" s="35"/>
      <c r="AC30" s="35">
        <f t="shared" si="11"/>
        <v>0</v>
      </c>
      <c r="AD30" s="36">
        <f>+IFERROR(VLOOKUP(C30,[3]Sheet1!E$3:N$919,6,0)," ")</f>
        <v>0</v>
      </c>
      <c r="AE30" s="37"/>
      <c r="AF30" s="38"/>
      <c r="AG30" s="35">
        <f t="shared" si="12"/>
        <v>0</v>
      </c>
      <c r="AH30" s="3">
        <f t="shared" si="17"/>
        <v>7.05</v>
      </c>
      <c r="AI30" s="35"/>
      <c r="AJ30" s="35">
        <f t="shared" si="13"/>
        <v>7.05</v>
      </c>
      <c r="AK30" s="36"/>
      <c r="AM30" s="35"/>
      <c r="AN30" s="4">
        <f t="shared" si="14"/>
        <v>32.9</v>
      </c>
      <c r="AO30" s="3">
        <f t="shared" si="18"/>
        <v>202.1</v>
      </c>
      <c r="AP30" s="39">
        <f t="shared" si="19"/>
        <v>0.86</v>
      </c>
      <c r="AQ30" s="5">
        <f>+'[1]Project Master'!AC29</f>
        <v>248.39999999999998</v>
      </c>
      <c r="AR30" s="6">
        <f t="shared" si="20"/>
        <v>-13.399999999999977</v>
      </c>
      <c r="AS30" s="40">
        <f t="shared" si="21"/>
        <v>-5.7021276595744581E-2</v>
      </c>
      <c r="AT30" s="41">
        <f t="shared" si="22"/>
        <v>-215.49999999999997</v>
      </c>
      <c r="AU30" s="39">
        <f t="shared" si="23"/>
        <v>0.91702127659574462</v>
      </c>
    </row>
    <row r="31" spans="1:47" x14ac:dyDescent="0.25">
      <c r="A31" t="s">
        <v>61</v>
      </c>
      <c r="B31" s="2">
        <v>1093</v>
      </c>
      <c r="C31" t="s">
        <v>148</v>
      </c>
      <c r="D31" t="s">
        <v>65</v>
      </c>
      <c r="G31" t="s">
        <v>63</v>
      </c>
      <c r="H31" t="s">
        <v>189</v>
      </c>
      <c r="I31" t="s">
        <v>185</v>
      </c>
      <c r="L31" s="32">
        <f>+VLOOKUP(C31,'[2]January 2026'!E$13:K$73,7,0)</f>
        <v>200</v>
      </c>
      <c r="M31" s="33" t="str">
        <f>+VLOOKUP(C31,'[2]January 2026'!E$13:N$73,10,0)</f>
        <v>INVOICE-4847</v>
      </c>
      <c r="N31" s="34"/>
      <c r="O31" s="35">
        <f t="shared" si="7"/>
        <v>0</v>
      </c>
      <c r="P31" s="34"/>
      <c r="Q31" s="35">
        <f t="shared" si="15"/>
        <v>0</v>
      </c>
      <c r="R31" s="35">
        <f t="shared" si="8"/>
        <v>10</v>
      </c>
      <c r="S31" s="35">
        <f t="shared" si="9"/>
        <v>10</v>
      </c>
      <c r="T31" s="35">
        <f t="shared" si="10"/>
        <v>2</v>
      </c>
      <c r="U31" s="36"/>
      <c r="V31" s="36">
        <f>+IFERROR(VLOOKUP(C31,[3]Sheet1!E$3:N$919,5,0)," ")</f>
        <v>0</v>
      </c>
      <c r="W31" s="36">
        <f>+IFERROR(VLOOKUP(C31,[3]Sheet1!E$3:N$919,10,0)," ")</f>
        <v>0</v>
      </c>
      <c r="X31" s="36">
        <f>+IFERROR(VLOOKUP(C31,[3]Sheet1!E$3:N$919,9,0)," ")</f>
        <v>0</v>
      </c>
      <c r="Y31" s="3">
        <f t="shared" si="16"/>
        <v>0</v>
      </c>
      <c r="Z31" s="35"/>
      <c r="AA31" s="35"/>
      <c r="AB31" s="35"/>
      <c r="AC31" s="35">
        <f t="shared" si="11"/>
        <v>0</v>
      </c>
      <c r="AD31" s="36">
        <f>+IFERROR(VLOOKUP(C31,[3]Sheet1!E$3:N$919,6,0)," ")</f>
        <v>0</v>
      </c>
      <c r="AE31" s="37"/>
      <c r="AF31" s="38"/>
      <c r="AG31" s="35">
        <f t="shared" si="12"/>
        <v>0</v>
      </c>
      <c r="AH31" s="3">
        <f t="shared" si="17"/>
        <v>6</v>
      </c>
      <c r="AI31" s="35"/>
      <c r="AJ31" s="35">
        <f t="shared" si="13"/>
        <v>6</v>
      </c>
      <c r="AK31" s="36"/>
      <c r="AM31" s="35"/>
      <c r="AN31" s="4">
        <f t="shared" si="14"/>
        <v>28</v>
      </c>
      <c r="AO31" s="3">
        <f t="shared" si="18"/>
        <v>172</v>
      </c>
      <c r="AP31" s="39">
        <f t="shared" si="19"/>
        <v>0.86</v>
      </c>
      <c r="AQ31" s="5">
        <f>+'[1]Project Master'!AC30</f>
        <v>2640.3999999999996</v>
      </c>
      <c r="AR31" s="6">
        <f t="shared" si="20"/>
        <v>-2440.3999999999996</v>
      </c>
      <c r="AS31" s="40">
        <f t="shared" si="21"/>
        <v>-12.201999999999998</v>
      </c>
      <c r="AT31" s="41">
        <f t="shared" si="22"/>
        <v>-2612.3999999999996</v>
      </c>
      <c r="AU31" s="39">
        <f t="shared" si="23"/>
        <v>13.061999999999998</v>
      </c>
    </row>
    <row r="32" spans="1:47" x14ac:dyDescent="0.25">
      <c r="A32" t="s">
        <v>61</v>
      </c>
      <c r="B32" s="2">
        <v>1094</v>
      </c>
      <c r="C32" t="s">
        <v>149</v>
      </c>
      <c r="D32" t="s">
        <v>65</v>
      </c>
      <c r="G32" t="s">
        <v>63</v>
      </c>
      <c r="H32" t="s">
        <v>189</v>
      </c>
      <c r="I32" t="s">
        <v>185</v>
      </c>
      <c r="L32" s="32">
        <f>+VLOOKUP(C32,'[2]January 2026'!E$13:K$73,7,0)</f>
        <v>270</v>
      </c>
      <c r="M32" s="33" t="str">
        <f>+VLOOKUP(C32,'[2]January 2026'!E$13:N$73,10,0)</f>
        <v>INVOICE-4848</v>
      </c>
      <c r="N32" s="34"/>
      <c r="O32" s="35">
        <f t="shared" si="7"/>
        <v>0</v>
      </c>
      <c r="P32" s="34"/>
      <c r="Q32" s="35">
        <f t="shared" si="15"/>
        <v>0</v>
      </c>
      <c r="R32" s="35">
        <f t="shared" si="8"/>
        <v>13.5</v>
      </c>
      <c r="S32" s="35">
        <f t="shared" si="9"/>
        <v>13.5</v>
      </c>
      <c r="T32" s="35">
        <f t="shared" si="10"/>
        <v>2.7</v>
      </c>
      <c r="U32" s="36"/>
      <c r="V32" s="36">
        <f>+IFERROR(VLOOKUP(C32,[3]Sheet1!E$3:N$919,5,0)," ")</f>
        <v>0</v>
      </c>
      <c r="W32" s="36">
        <f>+IFERROR(VLOOKUP(C32,[3]Sheet1!E$3:N$919,10,0)," ")</f>
        <v>0</v>
      </c>
      <c r="X32" s="36">
        <f>+IFERROR(VLOOKUP(C32,[3]Sheet1!E$3:N$919,9,0)," ")</f>
        <v>0</v>
      </c>
      <c r="Y32" s="3">
        <f t="shared" si="16"/>
        <v>0</v>
      </c>
      <c r="Z32" s="35"/>
      <c r="AA32" s="35"/>
      <c r="AB32" s="35"/>
      <c r="AC32" s="35">
        <f t="shared" si="11"/>
        <v>0</v>
      </c>
      <c r="AD32" s="36">
        <f>+IFERROR(VLOOKUP(C32,[3]Sheet1!E$3:N$919,6,0)," ")</f>
        <v>0</v>
      </c>
      <c r="AE32" s="37"/>
      <c r="AF32" s="38"/>
      <c r="AG32" s="35">
        <f t="shared" si="12"/>
        <v>0</v>
      </c>
      <c r="AH32" s="3">
        <f t="shared" si="17"/>
        <v>8.1</v>
      </c>
      <c r="AI32" s="35"/>
      <c r="AJ32" s="35">
        <f t="shared" si="13"/>
        <v>8.1</v>
      </c>
      <c r="AK32" s="36"/>
      <c r="AM32" s="35"/>
      <c r="AN32" s="4">
        <f t="shared" si="14"/>
        <v>37.799999999999997</v>
      </c>
      <c r="AO32" s="3">
        <f t="shared" si="18"/>
        <v>232.2</v>
      </c>
      <c r="AP32" s="39">
        <f t="shared" si="19"/>
        <v>0.86</v>
      </c>
      <c r="AQ32" s="5">
        <f>+'[1]Project Master'!AC31</f>
        <v>69</v>
      </c>
      <c r="AR32" s="6">
        <f t="shared" si="20"/>
        <v>201</v>
      </c>
      <c r="AS32" s="40">
        <f t="shared" si="21"/>
        <v>0.74444444444444446</v>
      </c>
      <c r="AT32" s="41">
        <f t="shared" si="22"/>
        <v>-31.200000000000003</v>
      </c>
      <c r="AU32" s="39">
        <f t="shared" si="23"/>
        <v>0.11555555555555552</v>
      </c>
    </row>
    <row r="33" spans="1:47" x14ac:dyDescent="0.25">
      <c r="A33" t="s">
        <v>61</v>
      </c>
      <c r="B33" s="2">
        <v>1095</v>
      </c>
      <c r="C33" t="s">
        <v>150</v>
      </c>
      <c r="D33" t="s">
        <v>65</v>
      </c>
      <c r="G33" t="s">
        <v>63</v>
      </c>
      <c r="H33" t="s">
        <v>189</v>
      </c>
      <c r="I33" t="s">
        <v>185</v>
      </c>
      <c r="L33" s="32">
        <f>+VLOOKUP(C33,'[2]January 2026'!E$13:K$73,7,0)</f>
        <v>2870</v>
      </c>
      <c r="M33" s="33" t="str">
        <f>+VLOOKUP(C33,'[2]January 2026'!E$13:N$73,10,0)</f>
        <v>INVOICE-4849</v>
      </c>
      <c r="N33" s="34"/>
      <c r="O33" s="35">
        <f t="shared" si="7"/>
        <v>0</v>
      </c>
      <c r="P33" s="34"/>
      <c r="Q33" s="35">
        <f t="shared" si="15"/>
        <v>0</v>
      </c>
      <c r="R33" s="35">
        <f t="shared" si="8"/>
        <v>143.5</v>
      </c>
      <c r="S33" s="35">
        <f t="shared" si="9"/>
        <v>143.5</v>
      </c>
      <c r="T33" s="35">
        <f t="shared" si="10"/>
        <v>28.7</v>
      </c>
      <c r="U33" s="36">
        <f>58.42+1440</f>
        <v>1498.42</v>
      </c>
      <c r="V33" s="36">
        <f>+IFERROR(VLOOKUP(C33,[3]Sheet1!E$3:N$919,5,0)," ")</f>
        <v>0</v>
      </c>
      <c r="W33" s="36">
        <f>+IFERROR(VLOOKUP(C33,[3]Sheet1!E$3:N$919,10,0)," ")</f>
        <v>0</v>
      </c>
      <c r="X33" s="36">
        <f>+IFERROR(VLOOKUP(C33,[3]Sheet1!E$3:N$919,9,0)," ")</f>
        <v>0</v>
      </c>
      <c r="Y33" s="3">
        <f t="shared" si="16"/>
        <v>1498.42</v>
      </c>
      <c r="Z33" s="35"/>
      <c r="AA33" s="35"/>
      <c r="AB33" s="35"/>
      <c r="AC33" s="35">
        <f t="shared" si="11"/>
        <v>0</v>
      </c>
      <c r="AD33" s="36">
        <f>+IFERROR(VLOOKUP(C33,[3]Sheet1!E$3:N$919,6,0)," ")</f>
        <v>0</v>
      </c>
      <c r="AE33" s="37"/>
      <c r="AF33" s="38"/>
      <c r="AG33" s="35">
        <v>0</v>
      </c>
      <c r="AH33" s="3">
        <f t="shared" si="17"/>
        <v>86.1</v>
      </c>
      <c r="AI33" s="35"/>
      <c r="AJ33" s="35">
        <f t="shared" si="13"/>
        <v>86.1</v>
      </c>
      <c r="AK33" s="36"/>
      <c r="AM33" s="35"/>
      <c r="AN33" s="4">
        <f t="shared" si="14"/>
        <v>1900.22</v>
      </c>
      <c r="AO33" s="3">
        <f t="shared" si="18"/>
        <v>969.78</v>
      </c>
      <c r="AP33" s="39">
        <f t="shared" si="19"/>
        <v>0.33790243902439021</v>
      </c>
      <c r="AQ33" s="5">
        <f>+'[1]Project Master'!AC32</f>
        <v>6560.8604000000005</v>
      </c>
      <c r="AR33" s="6">
        <f t="shared" si="20"/>
        <v>-3690.8604000000005</v>
      </c>
      <c r="AS33" s="40">
        <f t="shared" si="21"/>
        <v>-1.2860140766550525</v>
      </c>
      <c r="AT33" s="41">
        <f t="shared" si="22"/>
        <v>-4660.6404000000002</v>
      </c>
      <c r="AU33" s="39">
        <f t="shared" si="23"/>
        <v>1.6239165156794426</v>
      </c>
    </row>
    <row r="34" spans="1:47" x14ac:dyDescent="0.25">
      <c r="A34" t="s">
        <v>61</v>
      </c>
      <c r="B34" s="2">
        <v>1096</v>
      </c>
      <c r="C34" t="s">
        <v>151</v>
      </c>
      <c r="D34" t="s">
        <v>71</v>
      </c>
      <c r="G34" t="s">
        <v>63</v>
      </c>
      <c r="H34" t="s">
        <v>189</v>
      </c>
      <c r="I34" t="s">
        <v>185</v>
      </c>
      <c r="L34" s="32">
        <f>+VLOOKUP(C34,'[2]January 2026'!E$13:K$73,7,0)</f>
        <v>75</v>
      </c>
      <c r="M34" s="33" t="str">
        <f>+VLOOKUP(C34,'[2]January 2026'!E$13:N$73,10,0)</f>
        <v>INVOICE-4850</v>
      </c>
      <c r="N34" s="34"/>
      <c r="O34" s="35">
        <f t="shared" si="7"/>
        <v>0</v>
      </c>
      <c r="P34" s="34"/>
      <c r="Q34" s="35">
        <f t="shared" si="15"/>
        <v>0</v>
      </c>
      <c r="R34" s="35">
        <f t="shared" si="8"/>
        <v>3.75</v>
      </c>
      <c r="S34" s="35">
        <f t="shared" si="9"/>
        <v>3.75</v>
      </c>
      <c r="T34" s="35">
        <f t="shared" si="10"/>
        <v>0.75</v>
      </c>
      <c r="U34" s="36"/>
      <c r="V34" s="36">
        <f>+IFERROR(VLOOKUP(C34,[3]Sheet1!E$3:N$919,5,0)," ")</f>
        <v>0</v>
      </c>
      <c r="W34" s="36">
        <f>+IFERROR(VLOOKUP(C34,[3]Sheet1!E$3:N$919,10,0)," ")</f>
        <v>0</v>
      </c>
      <c r="X34" s="36">
        <f>+IFERROR(VLOOKUP(C34,[3]Sheet1!E$3:N$919,9,0)," ")</f>
        <v>0</v>
      </c>
      <c r="Y34" s="3">
        <f t="shared" si="16"/>
        <v>0</v>
      </c>
      <c r="Z34" s="35"/>
      <c r="AA34" s="35"/>
      <c r="AB34" s="35"/>
      <c r="AC34" s="35">
        <f t="shared" si="11"/>
        <v>0</v>
      </c>
      <c r="AD34" s="36">
        <f>+IFERROR(VLOOKUP(C34,[3]Sheet1!E$3:N$919,6,0)," ")</f>
        <v>0</v>
      </c>
      <c r="AE34" s="37"/>
      <c r="AF34" s="38"/>
      <c r="AG34" s="35">
        <f t="shared" si="12"/>
        <v>0</v>
      </c>
      <c r="AH34" s="3">
        <f t="shared" si="17"/>
        <v>2.25</v>
      </c>
      <c r="AI34" s="35"/>
      <c r="AJ34" s="35">
        <f t="shared" si="13"/>
        <v>2.25</v>
      </c>
      <c r="AK34" s="36"/>
      <c r="AM34" s="35"/>
      <c r="AN34" s="4">
        <f t="shared" si="14"/>
        <v>10.5</v>
      </c>
      <c r="AO34" s="3">
        <f t="shared" si="18"/>
        <v>64.5</v>
      </c>
      <c r="AP34" s="39">
        <f t="shared" si="19"/>
        <v>0.86</v>
      </c>
      <c r="AQ34" s="5">
        <f>+'[1]Project Master'!AC33</f>
        <v>286.46960000000001</v>
      </c>
      <c r="AR34" s="6">
        <f t="shared" si="20"/>
        <v>-211.46960000000001</v>
      </c>
      <c r="AS34" s="40">
        <f t="shared" si="21"/>
        <v>-2.8195946666666667</v>
      </c>
      <c r="AT34" s="41">
        <f t="shared" si="22"/>
        <v>-275.96960000000001</v>
      </c>
      <c r="AU34" s="39">
        <f t="shared" si="23"/>
        <v>3.6795946666666666</v>
      </c>
    </row>
    <row r="35" spans="1:47" x14ac:dyDescent="0.25">
      <c r="A35" t="s">
        <v>61</v>
      </c>
      <c r="B35" s="2">
        <v>1097</v>
      </c>
      <c r="C35" t="s">
        <v>78</v>
      </c>
      <c r="D35" t="s">
        <v>71</v>
      </c>
      <c r="G35" t="s">
        <v>63</v>
      </c>
      <c r="H35" t="s">
        <v>190</v>
      </c>
      <c r="I35" t="s">
        <v>186</v>
      </c>
      <c r="L35" s="32">
        <f>+VLOOKUP(C35,'[2]January 2026'!E$13:K$73,7,0)</f>
        <v>7131.37</v>
      </c>
      <c r="M35" s="33" t="str">
        <f>+VLOOKUP(C35,'[2]January 2026'!E$13:N$73,10,0)</f>
        <v>INVOICE-4851</v>
      </c>
      <c r="N35" s="34">
        <v>0.02</v>
      </c>
      <c r="O35" s="35">
        <f t="shared" si="7"/>
        <v>142.62739999999999</v>
      </c>
      <c r="P35" s="34"/>
      <c r="Q35" s="35">
        <f t="shared" si="15"/>
        <v>0</v>
      </c>
      <c r="R35" s="35">
        <f t="shared" si="8"/>
        <v>356.56850000000003</v>
      </c>
      <c r="S35" s="35">
        <f t="shared" si="9"/>
        <v>356.56850000000003</v>
      </c>
      <c r="T35" s="35">
        <f t="shared" si="10"/>
        <v>71.313699999999997</v>
      </c>
      <c r="U35" s="36"/>
      <c r="V35" s="36">
        <v>1560</v>
      </c>
      <c r="W35" s="36">
        <f>+IFERROR(VLOOKUP(C35,[3]Sheet1!E$3:N$919,10,0)," ")</f>
        <v>0</v>
      </c>
      <c r="X35" s="36">
        <f>+IFERROR(VLOOKUP(C35,[3]Sheet1!E$3:N$919,9,0)," ")</f>
        <v>0</v>
      </c>
      <c r="Y35" s="3">
        <f t="shared" si="16"/>
        <v>1560</v>
      </c>
      <c r="Z35" s="35"/>
      <c r="AA35" s="35"/>
      <c r="AB35" s="35"/>
      <c r="AC35" s="35">
        <f t="shared" si="11"/>
        <v>0</v>
      </c>
      <c r="AD35" s="36">
        <f>+IFERROR(VLOOKUP(C35,[3]Sheet1!E$3:N$919,6,0)," ")</f>
        <v>443.22</v>
      </c>
      <c r="AE35" s="37"/>
      <c r="AF35" s="38"/>
      <c r="AG35" s="35">
        <f t="shared" si="12"/>
        <v>443.22</v>
      </c>
      <c r="AH35" s="3">
        <f t="shared" si="17"/>
        <v>213.94109999999998</v>
      </c>
      <c r="AI35" s="35"/>
      <c r="AJ35" s="35">
        <f t="shared" si="13"/>
        <v>213.94109999999998</v>
      </c>
      <c r="AK35" s="36"/>
      <c r="AM35" s="35"/>
      <c r="AN35" s="4">
        <f t="shared" si="14"/>
        <v>3144.2392</v>
      </c>
      <c r="AO35" s="3">
        <f t="shared" si="18"/>
        <v>3987.1307999999999</v>
      </c>
      <c r="AP35" s="39">
        <f t="shared" si="19"/>
        <v>0.55909745252314769</v>
      </c>
      <c r="AQ35" s="5">
        <f>+'[1]Project Master'!AC34</f>
        <v>2422.3599999999997</v>
      </c>
      <c r="AR35" s="6">
        <f t="shared" si="20"/>
        <v>4709.01</v>
      </c>
      <c r="AS35" s="40">
        <f t="shared" si="21"/>
        <v>0.66032333198249427</v>
      </c>
      <c r="AT35" s="41">
        <f t="shared" si="22"/>
        <v>721.87920000000031</v>
      </c>
      <c r="AU35" s="39">
        <f t="shared" si="23"/>
        <v>-0.10122587945934658</v>
      </c>
    </row>
    <row r="36" spans="1:47" x14ac:dyDescent="0.25">
      <c r="A36" t="s">
        <v>61</v>
      </c>
      <c r="B36" s="2">
        <v>1099</v>
      </c>
      <c r="C36" t="s">
        <v>152</v>
      </c>
      <c r="D36" t="s">
        <v>71</v>
      </c>
      <c r="G36" t="s">
        <v>63</v>
      </c>
      <c r="H36" t="s">
        <v>190</v>
      </c>
      <c r="I36" t="s">
        <v>186</v>
      </c>
      <c r="L36" s="32">
        <f>+VLOOKUP(C36,'[2]January 2026'!E$13:K$73,7,0)</f>
        <v>1011.8399999999999</v>
      </c>
      <c r="M36" s="33" t="str">
        <f>+VLOOKUP(C36,'[2]January 2026'!E$13:N$73,10,0)</f>
        <v>INVOICE-4852</v>
      </c>
      <c r="N36" s="34"/>
      <c r="O36" s="35">
        <f t="shared" si="7"/>
        <v>0</v>
      </c>
      <c r="P36" s="34"/>
      <c r="Q36" s="35">
        <f t="shared" si="15"/>
        <v>0</v>
      </c>
      <c r="R36" s="35">
        <f t="shared" si="8"/>
        <v>50.591999999999999</v>
      </c>
      <c r="S36" s="35">
        <f t="shared" si="9"/>
        <v>50.591999999999999</v>
      </c>
      <c r="T36" s="35">
        <f t="shared" si="10"/>
        <v>10.118399999999999</v>
      </c>
      <c r="U36" s="36"/>
      <c r="V36" s="36">
        <f>+IFERROR(VLOOKUP(C36,[3]Sheet1!E$3:N$919,5,0)," ")</f>
        <v>0</v>
      </c>
      <c r="W36" s="36">
        <f>+IFERROR(VLOOKUP(C36,[3]Sheet1!E$3:N$919,10,0)," ")</f>
        <v>0</v>
      </c>
      <c r="X36" s="36">
        <f>+IFERROR(VLOOKUP(C36,[3]Sheet1!E$3:N$919,9,0)," ")</f>
        <v>0</v>
      </c>
      <c r="Y36" s="3">
        <f t="shared" si="16"/>
        <v>0</v>
      </c>
      <c r="Z36" s="35"/>
      <c r="AA36" s="35"/>
      <c r="AB36" s="35"/>
      <c r="AC36" s="35">
        <f t="shared" si="11"/>
        <v>0</v>
      </c>
      <c r="AD36" s="36">
        <f>+IFERROR(VLOOKUP(C36,[3]Sheet1!E$3:N$919,6,0)," ")</f>
        <v>0</v>
      </c>
      <c r="AE36" s="37"/>
      <c r="AF36" s="38"/>
      <c r="AG36" s="35">
        <f t="shared" si="12"/>
        <v>0</v>
      </c>
      <c r="AH36" s="3">
        <f t="shared" si="17"/>
        <v>30.355199999999996</v>
      </c>
      <c r="AI36" s="35"/>
      <c r="AJ36" s="35">
        <f t="shared" si="13"/>
        <v>30.355199999999996</v>
      </c>
      <c r="AK36" s="36"/>
      <c r="AM36" s="35"/>
      <c r="AN36" s="4">
        <f t="shared" si="14"/>
        <v>141.6576</v>
      </c>
      <c r="AO36" s="3">
        <f t="shared" si="18"/>
        <v>870.18239999999992</v>
      </c>
      <c r="AP36" s="39">
        <f t="shared" si="19"/>
        <v>0.86</v>
      </c>
      <c r="AQ36" s="5">
        <f>+'[1]Project Master'!AC35</f>
        <v>847.35679999999991</v>
      </c>
      <c r="AR36" s="6">
        <f t="shared" si="20"/>
        <v>164.48320000000001</v>
      </c>
      <c r="AS36" s="40">
        <f t="shared" si="21"/>
        <v>0.16255850727387733</v>
      </c>
      <c r="AT36" s="41">
        <f t="shared" si="22"/>
        <v>-705.69919999999991</v>
      </c>
      <c r="AU36" s="39">
        <f t="shared" si="23"/>
        <v>0.69744149272612266</v>
      </c>
    </row>
    <row r="37" spans="1:47" x14ac:dyDescent="0.25">
      <c r="A37" t="s">
        <v>61</v>
      </c>
      <c r="B37" s="2">
        <v>1100</v>
      </c>
      <c r="C37" t="s">
        <v>153</v>
      </c>
      <c r="D37" t="s">
        <v>71</v>
      </c>
      <c r="G37" t="s">
        <v>63</v>
      </c>
      <c r="H37" t="s">
        <v>190</v>
      </c>
      <c r="I37" t="s">
        <v>186</v>
      </c>
      <c r="L37" s="32">
        <f>+VLOOKUP(C37,'[2]January 2026'!E$13:K$73,7,0)</f>
        <v>311.38</v>
      </c>
      <c r="M37" s="33" t="str">
        <f>+VLOOKUP(C37,'[2]January 2026'!E$13:N$73,10,0)</f>
        <v>INVOICE-4853</v>
      </c>
      <c r="N37" s="34">
        <v>0.05</v>
      </c>
      <c r="O37" s="35">
        <f t="shared" si="7"/>
        <v>15.569000000000001</v>
      </c>
      <c r="P37" s="34"/>
      <c r="Q37" s="35">
        <f t="shared" si="15"/>
        <v>0</v>
      </c>
      <c r="R37" s="35">
        <f t="shared" si="8"/>
        <v>15.569000000000001</v>
      </c>
      <c r="S37" s="35">
        <f t="shared" si="9"/>
        <v>15.569000000000001</v>
      </c>
      <c r="T37" s="35">
        <f t="shared" si="10"/>
        <v>3.1137999999999999</v>
      </c>
      <c r="U37" s="36"/>
      <c r="V37" s="36">
        <f>+IFERROR(VLOOKUP(C37,[3]Sheet1!E$3:N$919,5,0)," ")</f>
        <v>140.00000000000006</v>
      </c>
      <c r="W37" s="36">
        <f>+IFERROR(VLOOKUP(C37,[3]Sheet1!E$3:N$919,10,0)," ")</f>
        <v>0</v>
      </c>
      <c r="X37" s="36">
        <f>+IFERROR(VLOOKUP(C37,[3]Sheet1!E$3:N$919,9,0)," ")</f>
        <v>0</v>
      </c>
      <c r="Y37" s="3">
        <f t="shared" si="16"/>
        <v>140.00000000000006</v>
      </c>
      <c r="Z37" s="35"/>
      <c r="AA37" s="35"/>
      <c r="AB37" s="35"/>
      <c r="AC37" s="35">
        <f t="shared" si="11"/>
        <v>0</v>
      </c>
      <c r="AD37" s="36">
        <f>+IFERROR(VLOOKUP(C37,[3]Sheet1!E$3:N$919,6,0)," ")</f>
        <v>0</v>
      </c>
      <c r="AE37" s="37"/>
      <c r="AF37" s="38"/>
      <c r="AG37" s="35">
        <f t="shared" si="12"/>
        <v>0</v>
      </c>
      <c r="AH37" s="3">
        <f t="shared" si="17"/>
        <v>9.3414000000000001</v>
      </c>
      <c r="AI37" s="35"/>
      <c r="AJ37" s="35">
        <f t="shared" si="13"/>
        <v>9.3414000000000001</v>
      </c>
      <c r="AK37" s="36"/>
      <c r="AM37" s="35"/>
      <c r="AN37" s="4">
        <f t="shared" si="14"/>
        <v>199.16220000000001</v>
      </c>
      <c r="AO37" s="3">
        <f t="shared" si="18"/>
        <v>112.21779999999998</v>
      </c>
      <c r="AP37" s="39">
        <f t="shared" si="19"/>
        <v>0.36038859271629514</v>
      </c>
      <c r="AQ37" s="5">
        <f>+'[1]Project Master'!AC36</f>
        <v>621</v>
      </c>
      <c r="AR37" s="6">
        <f t="shared" si="20"/>
        <v>-309.62</v>
      </c>
      <c r="AS37" s="40">
        <f t="shared" si="21"/>
        <v>-0.99434774230843348</v>
      </c>
      <c r="AT37" s="41">
        <f t="shared" si="22"/>
        <v>-421.83780000000002</v>
      </c>
      <c r="AU37" s="39">
        <f t="shared" si="23"/>
        <v>1.3547363350247286</v>
      </c>
    </row>
    <row r="38" spans="1:47" x14ac:dyDescent="0.25">
      <c r="A38" t="s">
        <v>61</v>
      </c>
      <c r="B38" s="2">
        <v>1370</v>
      </c>
      <c r="C38" t="s">
        <v>154</v>
      </c>
      <c r="D38" t="s">
        <v>62</v>
      </c>
      <c r="G38" t="s">
        <v>63</v>
      </c>
      <c r="H38" t="s">
        <v>190</v>
      </c>
      <c r="I38" t="s">
        <v>186</v>
      </c>
      <c r="L38" s="32">
        <f>+VLOOKUP(C38,'[2]January 2026'!E$13:K$73,7,0)</f>
        <v>921.04</v>
      </c>
      <c r="M38" s="33" t="str">
        <f>+VLOOKUP(C38,'[2]January 2026'!E$13:N$73,10,0)</f>
        <v>INVOICE-4854</v>
      </c>
      <c r="N38" s="34">
        <v>0.05</v>
      </c>
      <c r="O38" s="35">
        <f t="shared" si="7"/>
        <v>46.052</v>
      </c>
      <c r="P38" s="34"/>
      <c r="Q38" s="35">
        <f t="shared" si="15"/>
        <v>0</v>
      </c>
      <c r="R38" s="35">
        <f t="shared" si="8"/>
        <v>46.052</v>
      </c>
      <c r="S38" s="35">
        <f t="shared" si="9"/>
        <v>46.052</v>
      </c>
      <c r="T38" s="35">
        <f t="shared" si="10"/>
        <v>9.2103999999999999</v>
      </c>
      <c r="U38" s="36"/>
      <c r="V38" s="36">
        <f>+IFERROR(VLOOKUP(C38,[3]Sheet1!E$3:N$919,5,0)," ")</f>
        <v>600.83333333333326</v>
      </c>
      <c r="W38" s="36">
        <f>+IFERROR(VLOOKUP(C38,[3]Sheet1!E$3:N$919,10,0)," ")</f>
        <v>0</v>
      </c>
      <c r="X38" s="36">
        <f>+IFERROR(VLOOKUP(C38,[3]Sheet1!E$3:N$919,9,0)," ")</f>
        <v>0</v>
      </c>
      <c r="Y38" s="3">
        <f t="shared" si="16"/>
        <v>600.83333333333326</v>
      </c>
      <c r="Z38" s="35"/>
      <c r="AA38" s="35"/>
      <c r="AB38" s="35"/>
      <c r="AC38" s="35">
        <f t="shared" si="11"/>
        <v>0</v>
      </c>
      <c r="AD38" s="36">
        <f>+IFERROR(VLOOKUP(C38,[3]Sheet1!E$3:N$919,6,0)," ")</f>
        <v>0</v>
      </c>
      <c r="AE38" s="37"/>
      <c r="AF38" s="38"/>
      <c r="AG38" s="35">
        <f t="shared" si="12"/>
        <v>0</v>
      </c>
      <c r="AH38" s="3">
        <f t="shared" si="17"/>
        <v>27.631199999999996</v>
      </c>
      <c r="AI38" s="35"/>
      <c r="AJ38" s="35">
        <f t="shared" si="13"/>
        <v>27.631199999999996</v>
      </c>
      <c r="AK38" s="36"/>
      <c r="AM38" s="35"/>
      <c r="AN38" s="4">
        <f t="shared" si="14"/>
        <v>775.83093333333341</v>
      </c>
      <c r="AO38" s="3">
        <f t="shared" si="18"/>
        <v>145.20906666666656</v>
      </c>
      <c r="AP38" s="39">
        <f t="shared" si="19"/>
        <v>0.15765772025825867</v>
      </c>
      <c r="AQ38" s="5">
        <f>+'[1]Project Master'!AC37</f>
        <v>4823.3391999999994</v>
      </c>
      <c r="AR38" s="6">
        <f t="shared" si="20"/>
        <v>-3902.2991999999995</v>
      </c>
      <c r="AS38" s="40">
        <f t="shared" si="21"/>
        <v>-4.2368400938070003</v>
      </c>
      <c r="AT38" s="41">
        <f t="shared" si="22"/>
        <v>-4047.5082666666658</v>
      </c>
      <c r="AU38" s="39">
        <f t="shared" si="23"/>
        <v>4.3944978140652591</v>
      </c>
    </row>
    <row r="39" spans="1:47" x14ac:dyDescent="0.25">
      <c r="A39" t="s">
        <v>61</v>
      </c>
      <c r="B39" s="2">
        <v>1102</v>
      </c>
      <c r="C39" t="s">
        <v>155</v>
      </c>
      <c r="D39" t="s">
        <v>79</v>
      </c>
      <c r="G39" t="s">
        <v>63</v>
      </c>
      <c r="H39" t="s">
        <v>190</v>
      </c>
      <c r="I39" t="s">
        <v>186</v>
      </c>
      <c r="L39" s="32">
        <f>+VLOOKUP(C39,'[2]January 2026'!E$13:K$73,7,0)</f>
        <v>675</v>
      </c>
      <c r="M39" s="33" t="str">
        <f>+VLOOKUP(C39,'[2]January 2026'!E$13:N$73,10,0)</f>
        <v>INVOICE-4855</v>
      </c>
      <c r="N39" s="34">
        <v>0.05</v>
      </c>
      <c r="O39" s="35">
        <f t="shared" si="7"/>
        <v>33.75</v>
      </c>
      <c r="P39" s="34"/>
      <c r="Q39" s="35">
        <f t="shared" si="15"/>
        <v>0</v>
      </c>
      <c r="R39" s="35">
        <f t="shared" si="8"/>
        <v>33.75</v>
      </c>
      <c r="S39" s="35">
        <f t="shared" si="9"/>
        <v>33.75</v>
      </c>
      <c r="T39" s="35">
        <f t="shared" si="10"/>
        <v>6.75</v>
      </c>
      <c r="U39" s="36"/>
      <c r="V39" s="36">
        <f>+IFERROR(VLOOKUP(C39,[3]Sheet1!E$3:N$919,5,0)," ")</f>
        <v>648</v>
      </c>
      <c r="W39" s="36">
        <f>+IFERROR(VLOOKUP(C39,[3]Sheet1!E$3:N$919,10,0)," ")</f>
        <v>0</v>
      </c>
      <c r="X39" s="36">
        <f>+IFERROR(VLOOKUP(C39,[3]Sheet1!E$3:N$919,9,0)," ")</f>
        <v>0</v>
      </c>
      <c r="Y39" s="3">
        <f t="shared" si="16"/>
        <v>648</v>
      </c>
      <c r="Z39" s="35"/>
      <c r="AA39" s="35"/>
      <c r="AB39" s="35"/>
      <c r="AC39" s="35">
        <f t="shared" si="11"/>
        <v>0</v>
      </c>
      <c r="AD39" s="36">
        <f>+IFERROR(VLOOKUP(C39,[3]Sheet1!E$3:N$919,6,0)," ")</f>
        <v>0</v>
      </c>
      <c r="AE39" s="37"/>
      <c r="AF39" s="38"/>
      <c r="AG39" s="35">
        <f t="shared" si="12"/>
        <v>0</v>
      </c>
      <c r="AH39" s="3">
        <f t="shared" si="17"/>
        <v>20.25</v>
      </c>
      <c r="AI39" s="35"/>
      <c r="AJ39" s="35">
        <f t="shared" si="13"/>
        <v>20.25</v>
      </c>
      <c r="AK39" s="36"/>
      <c r="AM39" s="35"/>
      <c r="AN39" s="4">
        <f t="shared" si="14"/>
        <v>776.25</v>
      </c>
      <c r="AO39" s="3">
        <f t="shared" si="18"/>
        <v>-101.25</v>
      </c>
      <c r="AP39" s="39">
        <f t="shared" si="19"/>
        <v>-0.15</v>
      </c>
      <c r="AQ39" s="5">
        <f>+'[1]Project Master'!AC38</f>
        <v>7696.7568000000001</v>
      </c>
      <c r="AR39" s="6">
        <f t="shared" si="20"/>
        <v>-7021.7568000000001</v>
      </c>
      <c r="AS39" s="40">
        <f t="shared" si="21"/>
        <v>-10.402602666666667</v>
      </c>
      <c r="AT39" s="41">
        <f t="shared" si="22"/>
        <v>-6920.5068000000001</v>
      </c>
      <c r="AU39" s="39">
        <f t="shared" si="23"/>
        <v>10.252602666666666</v>
      </c>
    </row>
    <row r="40" spans="1:47" x14ac:dyDescent="0.25">
      <c r="A40" t="s">
        <v>61</v>
      </c>
      <c r="B40" s="2">
        <v>1103</v>
      </c>
      <c r="C40" t="s">
        <v>156</v>
      </c>
      <c r="D40" t="s">
        <v>80</v>
      </c>
      <c r="G40" t="s">
        <v>63</v>
      </c>
      <c r="H40" t="s">
        <v>190</v>
      </c>
      <c r="I40" t="s">
        <v>186</v>
      </c>
      <c r="L40" s="32">
        <f>+VLOOKUP(C40,'[2]January 2026'!E$13:K$73,7,0)</f>
        <v>5242.76</v>
      </c>
      <c r="M40" s="33" t="str">
        <f>+VLOOKUP(C40,'[2]January 2026'!E$13:N$73,10,0)</f>
        <v>INVOICE-4856</v>
      </c>
      <c r="N40" s="34">
        <v>0.05</v>
      </c>
      <c r="O40" s="35">
        <f t="shared" si="7"/>
        <v>262.13800000000003</v>
      </c>
      <c r="P40" s="34"/>
      <c r="Q40" s="35">
        <f t="shared" si="15"/>
        <v>0</v>
      </c>
      <c r="R40" s="35">
        <f t="shared" si="8"/>
        <v>262.13800000000003</v>
      </c>
      <c r="S40" s="35">
        <f t="shared" si="9"/>
        <v>262.13800000000003</v>
      </c>
      <c r="T40" s="35">
        <f t="shared" si="10"/>
        <v>52.427600000000005</v>
      </c>
      <c r="U40" s="36"/>
      <c r="V40" s="36">
        <f>+IFERROR(VLOOKUP(C40,[3]Sheet1!E$3:N$919,5,0)," ")</f>
        <v>0</v>
      </c>
      <c r="W40" s="36">
        <f>+IFERROR(VLOOKUP(C40,[3]Sheet1!E$3:N$919,10,0)," ")</f>
        <v>0</v>
      </c>
      <c r="X40" s="36">
        <f>+IFERROR(VLOOKUP(C40,[3]Sheet1!E$3:N$919,9,0)," ")</f>
        <v>3901.6</v>
      </c>
      <c r="Y40" s="3">
        <f t="shared" si="16"/>
        <v>3901.6</v>
      </c>
      <c r="Z40" s="35"/>
      <c r="AA40" s="35"/>
      <c r="AB40" s="35"/>
      <c r="AC40" s="35">
        <f t="shared" si="11"/>
        <v>0</v>
      </c>
      <c r="AD40" s="36">
        <f>+IFERROR(VLOOKUP(C40,[3]Sheet1!E$3:N$919,6,0)," ")</f>
        <v>0</v>
      </c>
      <c r="AE40" s="37"/>
      <c r="AF40" s="38"/>
      <c r="AG40" s="35">
        <f t="shared" si="12"/>
        <v>0</v>
      </c>
      <c r="AH40" s="3">
        <f t="shared" si="17"/>
        <v>157.28280000000001</v>
      </c>
      <c r="AI40" s="35"/>
      <c r="AJ40" s="35">
        <f t="shared" si="13"/>
        <v>157.28280000000001</v>
      </c>
      <c r="AK40" s="36"/>
      <c r="AM40" s="35"/>
      <c r="AN40" s="4">
        <f t="shared" si="14"/>
        <v>4897.7244000000001</v>
      </c>
      <c r="AO40" s="3">
        <f t="shared" si="18"/>
        <v>345.03560000000016</v>
      </c>
      <c r="AP40" s="39">
        <f t="shared" si="19"/>
        <v>6.581182430628145E-2</v>
      </c>
      <c r="AQ40" s="5">
        <f>+'[1]Project Master'!AC39</f>
        <v>230</v>
      </c>
      <c r="AR40" s="6">
        <f t="shared" si="20"/>
        <v>5012.76</v>
      </c>
      <c r="AS40" s="40">
        <f t="shared" si="21"/>
        <v>0.95612997734017957</v>
      </c>
      <c r="AT40" s="41">
        <f t="shared" si="22"/>
        <v>4667.7244000000001</v>
      </c>
      <c r="AU40" s="39">
        <f t="shared" si="23"/>
        <v>-0.89031815303389816</v>
      </c>
    </row>
    <row r="41" spans="1:47" x14ac:dyDescent="0.25">
      <c r="A41" t="s">
        <v>61</v>
      </c>
      <c r="B41" s="2">
        <v>1104</v>
      </c>
      <c r="C41" t="s">
        <v>157</v>
      </c>
      <c r="D41" t="s">
        <v>81</v>
      </c>
      <c r="G41" t="s">
        <v>63</v>
      </c>
      <c r="H41" t="s">
        <v>190</v>
      </c>
      <c r="I41" t="s">
        <v>186</v>
      </c>
      <c r="L41" s="32">
        <f>+VLOOKUP(C41,'[2]January 2026'!E$13:K$73,7,0)</f>
        <v>8366.0400000000009</v>
      </c>
      <c r="M41" s="33" t="str">
        <f>+VLOOKUP(C41,'[2]January 2026'!E$13:N$73,10,0)</f>
        <v>INVOICE-4857</v>
      </c>
      <c r="N41" s="34"/>
      <c r="O41" s="35">
        <f t="shared" si="7"/>
        <v>0</v>
      </c>
      <c r="P41" s="34"/>
      <c r="Q41" s="35">
        <f t="shared" si="15"/>
        <v>0</v>
      </c>
      <c r="R41" s="35">
        <f t="shared" si="8"/>
        <v>418.30200000000008</v>
      </c>
      <c r="S41" s="35">
        <f t="shared" si="9"/>
        <v>418.30200000000008</v>
      </c>
      <c r="T41" s="35">
        <f t="shared" si="10"/>
        <v>83.66040000000001</v>
      </c>
      <c r="U41" s="36"/>
      <c r="V41" s="36">
        <f>+IFERROR(VLOOKUP(C41,[3]Sheet1!E$3:N$919,5,0)," ")</f>
        <v>6162.3200000000015</v>
      </c>
      <c r="W41" s="36">
        <f>+IFERROR(VLOOKUP(C41,[3]Sheet1!E$3:N$919,10,0)," ")</f>
        <v>0</v>
      </c>
      <c r="X41" s="36">
        <f>+IFERROR(VLOOKUP(C41,[3]Sheet1!E$3:N$919,9,0)," ")</f>
        <v>0</v>
      </c>
      <c r="Y41" s="3">
        <f t="shared" si="16"/>
        <v>6162.3200000000015</v>
      </c>
      <c r="Z41" s="35"/>
      <c r="AA41" s="35"/>
      <c r="AB41" s="35"/>
      <c r="AC41" s="35">
        <f t="shared" ref="AC41:AC68" si="24">+SUM(Z41:AB41)</f>
        <v>0</v>
      </c>
      <c r="AD41" s="36">
        <f>+IFERROR(VLOOKUP(C41,[3]Sheet1!E$3:N$919,6,0)," ")</f>
        <v>168.76499999999999</v>
      </c>
      <c r="AE41" s="37"/>
      <c r="AF41" s="38"/>
      <c r="AG41" s="35">
        <f t="shared" si="12"/>
        <v>168.76499999999999</v>
      </c>
      <c r="AH41" s="3">
        <f t="shared" si="17"/>
        <v>250.98120000000003</v>
      </c>
      <c r="AI41" s="35"/>
      <c r="AJ41" s="35">
        <f t="shared" si="13"/>
        <v>250.98120000000003</v>
      </c>
      <c r="AK41" s="36"/>
      <c r="AM41" s="35"/>
      <c r="AN41" s="4">
        <f t="shared" si="14"/>
        <v>7502.3306000000002</v>
      </c>
      <c r="AO41" s="3">
        <f t="shared" si="18"/>
        <v>863.70940000000064</v>
      </c>
      <c r="AP41" s="39">
        <f t="shared" si="19"/>
        <v>0.10323993191521921</v>
      </c>
      <c r="AQ41" s="5">
        <f>+'[1]Project Master'!AC40</f>
        <v>1702</v>
      </c>
      <c r="AR41" s="6">
        <f t="shared" si="20"/>
        <v>6664.0400000000009</v>
      </c>
      <c r="AS41" s="40">
        <f t="shared" si="21"/>
        <v>0.79655846732743329</v>
      </c>
      <c r="AT41" s="41">
        <f t="shared" si="22"/>
        <v>5800.3306000000002</v>
      </c>
      <c r="AU41" s="39">
        <f t="shared" si="23"/>
        <v>-0.69331853541221411</v>
      </c>
    </row>
    <row r="42" spans="1:47" x14ac:dyDescent="0.25">
      <c r="A42" t="s">
        <v>61</v>
      </c>
      <c r="B42" s="2">
        <v>1105</v>
      </c>
      <c r="C42" t="s">
        <v>158</v>
      </c>
      <c r="D42" t="s">
        <v>82</v>
      </c>
      <c r="G42" t="s">
        <v>63</v>
      </c>
      <c r="H42" t="s">
        <v>190</v>
      </c>
      <c r="I42" t="s">
        <v>186</v>
      </c>
      <c r="L42" s="32">
        <f>+VLOOKUP(C42,'[2]January 2026'!E$13:K$73,7,0)</f>
        <v>250</v>
      </c>
      <c r="M42" s="33" t="str">
        <f>+VLOOKUP(C42,'[2]January 2026'!E$13:N$73,10,0)</f>
        <v>INVOICE-4858</v>
      </c>
      <c r="N42" s="34">
        <v>0.03</v>
      </c>
      <c r="O42" s="35">
        <f t="shared" si="7"/>
        <v>7.5</v>
      </c>
      <c r="P42" s="34"/>
      <c r="Q42" s="35">
        <f t="shared" si="15"/>
        <v>0</v>
      </c>
      <c r="R42" s="35">
        <f t="shared" si="8"/>
        <v>12.5</v>
      </c>
      <c r="S42" s="35">
        <f t="shared" si="9"/>
        <v>12.5</v>
      </c>
      <c r="T42" s="35">
        <f t="shared" si="10"/>
        <v>2.5</v>
      </c>
      <c r="U42" s="36"/>
      <c r="V42" s="36">
        <f>+IFERROR(VLOOKUP(C42,[3]Sheet1!E$3:N$919,5,0)," ")</f>
        <v>0</v>
      </c>
      <c r="W42" s="36">
        <f>+IFERROR(VLOOKUP(C42,[3]Sheet1!E$3:N$919,10,0)," ")</f>
        <v>0</v>
      </c>
      <c r="X42" s="36">
        <f>+IFERROR(VLOOKUP(C42,[3]Sheet1!E$3:N$919,9,0)," ")</f>
        <v>0</v>
      </c>
      <c r="Y42" s="3">
        <f t="shared" si="16"/>
        <v>0</v>
      </c>
      <c r="Z42" s="35"/>
      <c r="AA42" s="35"/>
      <c r="AB42" s="35"/>
      <c r="AC42" s="35">
        <f t="shared" si="24"/>
        <v>0</v>
      </c>
      <c r="AD42" s="36">
        <f>+IFERROR(VLOOKUP(C42,[3]Sheet1!E$3:N$919,6,0)," ")</f>
        <v>0</v>
      </c>
      <c r="AE42" s="37"/>
      <c r="AF42" s="38"/>
      <c r="AG42" s="35">
        <f t="shared" si="12"/>
        <v>0</v>
      </c>
      <c r="AH42" s="3">
        <v>0</v>
      </c>
      <c r="AI42" s="35"/>
      <c r="AJ42" s="35">
        <f t="shared" si="13"/>
        <v>0</v>
      </c>
      <c r="AK42" s="36"/>
      <c r="AM42" s="35"/>
      <c r="AN42" s="4">
        <f t="shared" si="14"/>
        <v>35</v>
      </c>
      <c r="AO42" s="3">
        <f t="shared" si="18"/>
        <v>215</v>
      </c>
      <c r="AP42" s="39">
        <f t="shared" si="19"/>
        <v>0.86</v>
      </c>
      <c r="AQ42" s="5">
        <f>+'[1]Project Master'!AC41</f>
        <v>2105.4752000000003</v>
      </c>
      <c r="AR42" s="6">
        <f t="shared" si="20"/>
        <v>-1855.4752000000003</v>
      </c>
      <c r="AS42" s="40">
        <f t="shared" si="21"/>
        <v>-7.4219008000000013</v>
      </c>
      <c r="AT42" s="41">
        <f t="shared" si="22"/>
        <v>-2070.4752000000003</v>
      </c>
      <c r="AU42" s="39">
        <f t="shared" si="23"/>
        <v>8.2819008000000007</v>
      </c>
    </row>
    <row r="43" spans="1:47" x14ac:dyDescent="0.25">
      <c r="A43" t="s">
        <v>61</v>
      </c>
      <c r="B43" s="2">
        <v>1106</v>
      </c>
      <c r="C43" t="s">
        <v>159</v>
      </c>
      <c r="D43" t="s">
        <v>83</v>
      </c>
      <c r="G43" t="s">
        <v>63</v>
      </c>
      <c r="H43" t="s">
        <v>190</v>
      </c>
      <c r="I43" t="s">
        <v>186</v>
      </c>
      <c r="L43" s="32">
        <f>+VLOOKUP(C43,'[2]January 2026'!E$13:K$73,7,0)</f>
        <v>2288.56</v>
      </c>
      <c r="M43" s="33" t="str">
        <f>+VLOOKUP(C43,'[2]January 2026'!E$13:N$73,10,0)</f>
        <v>INVOICE-4859</v>
      </c>
      <c r="N43" s="34">
        <v>0.03</v>
      </c>
      <c r="O43" s="35">
        <f t="shared" si="7"/>
        <v>68.65679999999999</v>
      </c>
      <c r="P43" s="34"/>
      <c r="Q43" s="35">
        <f t="shared" si="15"/>
        <v>0</v>
      </c>
      <c r="R43" s="35">
        <f t="shared" si="8"/>
        <v>114.428</v>
      </c>
      <c r="S43" s="35">
        <f t="shared" si="9"/>
        <v>114.428</v>
      </c>
      <c r="T43" s="35">
        <f t="shared" si="10"/>
        <v>22.8856</v>
      </c>
      <c r="U43" s="36"/>
      <c r="V43" s="36">
        <f>+IFERROR(VLOOKUP(C43,[3]Sheet1!E$3:N$919,5,0)," ")</f>
        <v>0</v>
      </c>
      <c r="W43" s="36">
        <f>+IFERROR(VLOOKUP(C43,[3]Sheet1!E$3:N$919,10,0)," ")</f>
        <v>0</v>
      </c>
      <c r="X43" s="36">
        <f>+IFERROR(VLOOKUP(C43,[3]Sheet1!E$3:N$919,9,0)," ")</f>
        <v>0</v>
      </c>
      <c r="Y43" s="3">
        <f t="shared" si="16"/>
        <v>0</v>
      </c>
      <c r="Z43" s="35"/>
      <c r="AA43" s="35"/>
      <c r="AB43" s="35"/>
      <c r="AC43" s="35">
        <f t="shared" si="24"/>
        <v>0</v>
      </c>
      <c r="AD43" s="36">
        <f>+IFERROR(VLOOKUP(C43,[3]Sheet1!E$3:N$919,6,0)," ")</f>
        <v>0</v>
      </c>
      <c r="AE43" s="37"/>
      <c r="AF43" s="38"/>
      <c r="AG43" s="35">
        <f t="shared" si="12"/>
        <v>0</v>
      </c>
      <c r="AH43" s="3">
        <v>0</v>
      </c>
      <c r="AI43" s="35"/>
      <c r="AJ43" s="35">
        <f t="shared" si="13"/>
        <v>0</v>
      </c>
      <c r="AK43" s="36"/>
      <c r="AM43" s="35"/>
      <c r="AN43" s="4">
        <f t="shared" si="14"/>
        <v>320.39839999999998</v>
      </c>
      <c r="AO43" s="3">
        <f t="shared" si="18"/>
        <v>1968.1615999999999</v>
      </c>
      <c r="AP43" s="39">
        <f t="shared" si="19"/>
        <v>0.86</v>
      </c>
      <c r="AQ43" s="5">
        <f>+'[1]Project Master'!AC42</f>
        <v>345</v>
      </c>
      <c r="AR43" s="6">
        <f t="shared" si="20"/>
        <v>1943.56</v>
      </c>
      <c r="AS43" s="40">
        <f t="shared" si="21"/>
        <v>0.84925018352151571</v>
      </c>
      <c r="AT43" s="41">
        <f t="shared" si="22"/>
        <v>-24.601600000000019</v>
      </c>
      <c r="AU43" s="39">
        <f t="shared" si="23"/>
        <v>1.0749816478484275E-2</v>
      </c>
    </row>
    <row r="44" spans="1:47" x14ac:dyDescent="0.25">
      <c r="A44" t="s">
        <v>61</v>
      </c>
      <c r="B44" s="2">
        <v>1107</v>
      </c>
      <c r="C44" t="s">
        <v>160</v>
      </c>
      <c r="D44" t="s">
        <v>84</v>
      </c>
      <c r="G44" t="s">
        <v>63</v>
      </c>
      <c r="H44" t="s">
        <v>190</v>
      </c>
      <c r="I44" t="s">
        <v>186</v>
      </c>
      <c r="L44" s="32">
        <f>+VLOOKUP(C44,'[2]January 2026'!E$13:K$73,7,0)</f>
        <v>375</v>
      </c>
      <c r="M44" s="33" t="str">
        <f>+VLOOKUP(C44,'[2]January 2026'!E$13:N$73,10,0)</f>
        <v>INVOICE-4860</v>
      </c>
      <c r="N44" s="34">
        <v>0.03</v>
      </c>
      <c r="O44" s="35">
        <f t="shared" si="7"/>
        <v>11.25</v>
      </c>
      <c r="P44" s="34"/>
      <c r="Q44" s="35">
        <f t="shared" si="15"/>
        <v>0</v>
      </c>
      <c r="R44" s="35">
        <f t="shared" si="8"/>
        <v>18.75</v>
      </c>
      <c r="S44" s="35">
        <f t="shared" si="9"/>
        <v>18.75</v>
      </c>
      <c r="T44" s="35">
        <f t="shared" si="10"/>
        <v>3.75</v>
      </c>
      <c r="U44" s="36"/>
      <c r="V44" s="36">
        <f>+IFERROR(VLOOKUP(C44,[3]Sheet1!E$3:N$919,5,0)," ")</f>
        <v>0</v>
      </c>
      <c r="W44" s="36">
        <f>+IFERROR(VLOOKUP(C44,[3]Sheet1!E$3:N$919,10,0)," ")</f>
        <v>0</v>
      </c>
      <c r="X44" s="36">
        <f>+IFERROR(VLOOKUP(C44,[3]Sheet1!E$3:N$919,9,0)," ")</f>
        <v>0</v>
      </c>
      <c r="Y44" s="3">
        <f t="shared" si="16"/>
        <v>0</v>
      </c>
      <c r="Z44" s="35"/>
      <c r="AA44" s="35"/>
      <c r="AB44" s="35"/>
      <c r="AC44" s="35">
        <f t="shared" si="24"/>
        <v>0</v>
      </c>
      <c r="AD44" s="36">
        <f>+IFERROR(VLOOKUP(C44,[3]Sheet1!E$3:N$919,6,0)," ")</f>
        <v>0</v>
      </c>
      <c r="AE44" s="37"/>
      <c r="AF44" s="38"/>
      <c r="AG44" s="35">
        <v>0</v>
      </c>
      <c r="AH44" s="3">
        <f t="shared" si="17"/>
        <v>11.25</v>
      </c>
      <c r="AI44" s="35"/>
      <c r="AJ44" s="35">
        <f t="shared" si="13"/>
        <v>11.25</v>
      </c>
      <c r="AK44" s="36"/>
      <c r="AM44" s="35"/>
      <c r="AN44" s="4">
        <f t="shared" si="14"/>
        <v>63.75</v>
      </c>
      <c r="AO44" s="3">
        <f t="shared" si="18"/>
        <v>311.25</v>
      </c>
      <c r="AP44" s="39">
        <f t="shared" si="19"/>
        <v>0.83</v>
      </c>
      <c r="AQ44" s="5">
        <f>+'[1]Project Master'!AC43</f>
        <v>4665.3108000000002</v>
      </c>
      <c r="AR44" s="6">
        <f t="shared" si="20"/>
        <v>-4290.3108000000002</v>
      </c>
      <c r="AS44" s="40">
        <f t="shared" si="21"/>
        <v>-11.4408288</v>
      </c>
      <c r="AT44" s="41">
        <f t="shared" si="22"/>
        <v>-4601.5608000000002</v>
      </c>
      <c r="AU44" s="39">
        <f t="shared" si="23"/>
        <v>12.2708288</v>
      </c>
    </row>
    <row r="45" spans="1:47" x14ac:dyDescent="0.25">
      <c r="A45" t="s">
        <v>61</v>
      </c>
      <c r="B45" s="2">
        <v>1108</v>
      </c>
      <c r="C45" t="s">
        <v>161</v>
      </c>
      <c r="D45" t="s">
        <v>85</v>
      </c>
      <c r="G45" t="s">
        <v>63</v>
      </c>
      <c r="H45" t="s">
        <v>190</v>
      </c>
      <c r="I45" t="s">
        <v>186</v>
      </c>
      <c r="L45" s="32">
        <f>+VLOOKUP(C45,'[2]January 2026'!E$13:K$73,7,0)</f>
        <v>5070.99</v>
      </c>
      <c r="M45" s="33" t="str">
        <f>+VLOOKUP(C45,'[2]January 2026'!E$13:N$73,10,0)</f>
        <v>INVOICE-4861</v>
      </c>
      <c r="N45" s="34">
        <v>0.05</v>
      </c>
      <c r="O45" s="35">
        <f t="shared" si="7"/>
        <v>253.54949999999999</v>
      </c>
      <c r="P45" s="34"/>
      <c r="Q45" s="35">
        <f t="shared" si="15"/>
        <v>0</v>
      </c>
      <c r="R45" s="35">
        <f t="shared" si="8"/>
        <v>253.54949999999999</v>
      </c>
      <c r="S45" s="35">
        <f t="shared" si="9"/>
        <v>253.54949999999999</v>
      </c>
      <c r="T45" s="35">
        <f t="shared" si="10"/>
        <v>50.709899999999998</v>
      </c>
      <c r="U45" s="36"/>
      <c r="V45" s="36">
        <f>+IFERROR(VLOOKUP(C45,[3]Sheet1!E$3:N$919,5,0)," ")</f>
        <v>0</v>
      </c>
      <c r="W45" s="36">
        <f>+IFERROR(VLOOKUP(C45,[3]Sheet1!E$3:N$919,10,0)," ")</f>
        <v>0</v>
      </c>
      <c r="X45" s="36">
        <f>+IFERROR(VLOOKUP(C45,[3]Sheet1!E$3:N$919,9,0)," ")</f>
        <v>0</v>
      </c>
      <c r="Y45" s="3">
        <f t="shared" si="16"/>
        <v>0</v>
      </c>
      <c r="Z45" s="35"/>
      <c r="AA45" s="35"/>
      <c r="AB45" s="35"/>
      <c r="AC45" s="35">
        <f t="shared" si="24"/>
        <v>0</v>
      </c>
      <c r="AD45" s="36">
        <f>+IFERROR(VLOOKUP(C45,[3]Sheet1!E$3:N$919,6,0)," ")</f>
        <v>0</v>
      </c>
      <c r="AE45" s="37"/>
      <c r="AF45" s="38"/>
      <c r="AG45" s="35">
        <v>0</v>
      </c>
      <c r="AH45" s="3">
        <f t="shared" si="17"/>
        <v>152.12969999999999</v>
      </c>
      <c r="AI45" s="35"/>
      <c r="AJ45" s="35">
        <f t="shared" si="13"/>
        <v>152.12969999999999</v>
      </c>
      <c r="AK45" s="36"/>
      <c r="AM45" s="35"/>
      <c r="AN45" s="4">
        <f t="shared" si="14"/>
        <v>963.48809999999992</v>
      </c>
      <c r="AO45" s="3">
        <f t="shared" si="18"/>
        <v>4107.5019000000002</v>
      </c>
      <c r="AP45" s="39">
        <f t="shared" si="19"/>
        <v>0.81</v>
      </c>
      <c r="AQ45" s="5">
        <f>+'[1]Project Master'!AC44</f>
        <v>2703.0703999999996</v>
      </c>
      <c r="AR45" s="6">
        <f t="shared" si="20"/>
        <v>2367.9196000000002</v>
      </c>
      <c r="AS45" s="40">
        <f t="shared" si="21"/>
        <v>0.46695410560856959</v>
      </c>
      <c r="AT45" s="41">
        <f t="shared" si="22"/>
        <v>-1739.5822999999996</v>
      </c>
      <c r="AU45" s="39">
        <f t="shared" si="23"/>
        <v>0.34304589439143046</v>
      </c>
    </row>
    <row r="46" spans="1:47" x14ac:dyDescent="0.25">
      <c r="A46" t="s">
        <v>61</v>
      </c>
      <c r="B46" s="2">
        <v>1109</v>
      </c>
      <c r="C46" t="s">
        <v>162</v>
      </c>
      <c r="D46" t="s">
        <v>86</v>
      </c>
      <c r="G46" t="s">
        <v>63</v>
      </c>
      <c r="H46" t="s">
        <v>190</v>
      </c>
      <c r="I46" t="s">
        <v>186</v>
      </c>
      <c r="L46" s="32">
        <f>+VLOOKUP(C46,'[2]January 2026'!E$13:K$73,7,0)</f>
        <v>2938.12</v>
      </c>
      <c r="M46" s="33" t="str">
        <f>+VLOOKUP(C46,'[2]January 2026'!E$13:N$73,10,0)</f>
        <v>INVOICE-4862</v>
      </c>
      <c r="N46" s="34">
        <v>0.05</v>
      </c>
      <c r="O46" s="35">
        <f t="shared" si="7"/>
        <v>146.90600000000001</v>
      </c>
      <c r="P46" s="34"/>
      <c r="Q46" s="35">
        <f t="shared" si="15"/>
        <v>0</v>
      </c>
      <c r="R46" s="35">
        <f t="shared" si="8"/>
        <v>146.90600000000001</v>
      </c>
      <c r="S46" s="35">
        <f t="shared" si="9"/>
        <v>146.90600000000001</v>
      </c>
      <c r="T46" s="35">
        <f t="shared" si="10"/>
        <v>29.3812</v>
      </c>
      <c r="U46" s="36">
        <f>1295.16+1295</f>
        <v>2590.16</v>
      </c>
      <c r="V46" s="36">
        <f>+IFERROR(VLOOKUP(C46,[3]Sheet1!E$3:N$919,5,0)," ")</f>
        <v>0</v>
      </c>
      <c r="W46" s="36">
        <f>+IFERROR(VLOOKUP(C46,[3]Sheet1!E$3:N$919,10,0)," ")</f>
        <v>0</v>
      </c>
      <c r="X46" s="36">
        <f>+IFERROR(VLOOKUP(C46,[3]Sheet1!E$3:N$919,9,0)," ")</f>
        <v>0</v>
      </c>
      <c r="Y46" s="3">
        <f t="shared" si="16"/>
        <v>2590.16</v>
      </c>
      <c r="Z46" s="35"/>
      <c r="AA46" s="35"/>
      <c r="AB46" s="35"/>
      <c r="AC46" s="35">
        <f t="shared" si="24"/>
        <v>0</v>
      </c>
      <c r="AD46" s="36">
        <f>+IFERROR(VLOOKUP(C46,[3]Sheet1!E$3:N$919,6,0)," ")</f>
        <v>0</v>
      </c>
      <c r="AE46" s="37"/>
      <c r="AF46" s="38"/>
      <c r="AG46" s="35">
        <f t="shared" si="12"/>
        <v>0</v>
      </c>
      <c r="AH46" s="3">
        <f t="shared" si="17"/>
        <v>88.143599999999992</v>
      </c>
      <c r="AI46" s="35"/>
      <c r="AJ46" s="35">
        <f t="shared" si="13"/>
        <v>88.143599999999992</v>
      </c>
      <c r="AK46" s="36"/>
      <c r="AM46" s="35"/>
      <c r="AN46" s="4">
        <f t="shared" si="14"/>
        <v>3148.4027999999994</v>
      </c>
      <c r="AO46" s="3">
        <f t="shared" si="18"/>
        <v>-210.2827999999995</v>
      </c>
      <c r="AP46" s="39">
        <f t="shared" si="19"/>
        <v>-7.1570528092793864E-2</v>
      </c>
      <c r="AQ46" s="5">
        <f>+'[1]Project Master'!AC45</f>
        <v>57546.506000000001</v>
      </c>
      <c r="AR46" s="6">
        <f t="shared" si="20"/>
        <v>-54608.385999999999</v>
      </c>
      <c r="AS46" s="40">
        <f t="shared" si="21"/>
        <v>-18.58616598369025</v>
      </c>
      <c r="AT46" s="41">
        <f t="shared" si="22"/>
        <v>-54398.103200000005</v>
      </c>
      <c r="AU46" s="39">
        <f t="shared" si="23"/>
        <v>18.514595455597455</v>
      </c>
    </row>
    <row r="47" spans="1:47" x14ac:dyDescent="0.25">
      <c r="A47" t="s">
        <v>61</v>
      </c>
      <c r="B47" s="2">
        <v>1110</v>
      </c>
      <c r="C47" t="s">
        <v>163</v>
      </c>
      <c r="D47" t="s">
        <v>87</v>
      </c>
      <c r="G47" t="s">
        <v>63</v>
      </c>
      <c r="H47" t="s">
        <v>190</v>
      </c>
      <c r="I47" t="s">
        <v>186</v>
      </c>
      <c r="L47" s="32">
        <f>+VLOOKUP(C47,'[2]January 2026'!E$13:K$73,7,0)</f>
        <v>33839.691284999994</v>
      </c>
      <c r="M47" s="33" t="str">
        <f>+VLOOKUP(C47,'[2]January 2026'!E$13:N$73,10,0)</f>
        <v>INVOICE-4863</v>
      </c>
      <c r="N47" s="34">
        <v>0.03</v>
      </c>
      <c r="O47" s="35">
        <f t="shared" si="7"/>
        <v>1015.1907385499998</v>
      </c>
      <c r="P47" s="34"/>
      <c r="Q47" s="35">
        <f t="shared" si="15"/>
        <v>0</v>
      </c>
      <c r="R47" s="35">
        <f t="shared" si="8"/>
        <v>1691.9845642499997</v>
      </c>
      <c r="S47" s="35">
        <f t="shared" si="9"/>
        <v>1691.9845642499997</v>
      </c>
      <c r="T47" s="35">
        <f t="shared" si="10"/>
        <v>338.39691284999992</v>
      </c>
      <c r="U47" s="36"/>
      <c r="V47" s="36">
        <v>8468.73</v>
      </c>
      <c r="W47" s="36">
        <f>+IFERROR(VLOOKUP(C47,[3]Sheet1!E$3:N$919,10,0)," ")</f>
        <v>0</v>
      </c>
      <c r="X47" s="36">
        <f>+IFERROR(VLOOKUP(C47,[3]Sheet1!E$3:N$919,9,0)," ")</f>
        <v>0</v>
      </c>
      <c r="Y47" s="3">
        <f t="shared" si="16"/>
        <v>8468.73</v>
      </c>
      <c r="Z47" s="35"/>
      <c r="AA47" s="35"/>
      <c r="AB47" s="35"/>
      <c r="AC47" s="35">
        <f t="shared" si="24"/>
        <v>0</v>
      </c>
      <c r="AD47" s="36">
        <f>+IFERROR(VLOOKUP(C47,[3]Sheet1!E$3:N$919,6,0)," ")</f>
        <v>0</v>
      </c>
      <c r="AE47" s="37"/>
      <c r="AF47" s="38"/>
      <c r="AG47" s="35">
        <v>0</v>
      </c>
      <c r="AH47" s="3">
        <f t="shared" si="17"/>
        <v>1015.1907385499998</v>
      </c>
      <c r="AI47" s="35"/>
      <c r="AJ47" s="35">
        <f t="shared" si="13"/>
        <v>1015.1907385499998</v>
      </c>
      <c r="AK47" s="36"/>
      <c r="AM47" s="35"/>
      <c r="AN47" s="4">
        <f t="shared" si="14"/>
        <v>14221.477518449999</v>
      </c>
      <c r="AO47" s="3">
        <f t="shared" si="18"/>
        <v>19618.213766549994</v>
      </c>
      <c r="AP47" s="39">
        <f t="shared" si="19"/>
        <v>0.5797397382063616</v>
      </c>
      <c r="AQ47" s="5">
        <f>+'[1]Project Master'!AC46</f>
        <v>3860.2372</v>
      </c>
      <c r="AR47" s="6">
        <f t="shared" si="20"/>
        <v>29979.454084999994</v>
      </c>
      <c r="AS47" s="40">
        <f t="shared" si="21"/>
        <v>0.88592575601565504</v>
      </c>
      <c r="AT47" s="41">
        <f t="shared" si="22"/>
        <v>10361.24031845</v>
      </c>
      <c r="AU47" s="39">
        <f t="shared" si="23"/>
        <v>-0.30618601780929344</v>
      </c>
    </row>
    <row r="48" spans="1:47" x14ac:dyDescent="0.25">
      <c r="A48" t="s">
        <v>61</v>
      </c>
      <c r="B48" s="2">
        <v>1111</v>
      </c>
      <c r="C48" t="s">
        <v>164</v>
      </c>
      <c r="D48" t="s">
        <v>88</v>
      </c>
      <c r="G48" t="s">
        <v>63</v>
      </c>
      <c r="H48" t="s">
        <v>190</v>
      </c>
      <c r="I48" t="s">
        <v>186</v>
      </c>
      <c r="L48" s="32">
        <f>+VLOOKUP(C48,'[2]January 2026'!E$13:K$73,7,0)</f>
        <v>30076.052084999992</v>
      </c>
      <c r="M48" s="33" t="str">
        <f>+VLOOKUP(C48,'[2]January 2026'!E$13:N$73,10,0)</f>
        <v>INVOICE-4864</v>
      </c>
      <c r="N48" s="34">
        <v>0.03</v>
      </c>
      <c r="O48" s="35">
        <f t="shared" si="7"/>
        <v>902.28156254999976</v>
      </c>
      <c r="P48" s="34"/>
      <c r="Q48" s="35">
        <f t="shared" si="15"/>
        <v>0</v>
      </c>
      <c r="R48" s="35">
        <f t="shared" si="8"/>
        <v>1503.8026042499996</v>
      </c>
      <c r="S48" s="35">
        <f t="shared" si="9"/>
        <v>1503.8026042499996</v>
      </c>
      <c r="T48" s="35">
        <f t="shared" si="10"/>
        <v>300.76052084999992</v>
      </c>
      <c r="U48" s="36"/>
      <c r="V48" s="36">
        <v>2172.7600000000002</v>
      </c>
      <c r="W48" s="36">
        <f>+IFERROR(VLOOKUP(C48,[3]Sheet1!E$3:N$919,10,0)," ")</f>
        <v>0</v>
      </c>
      <c r="X48" s="36">
        <v>21961.279999999999</v>
      </c>
      <c r="Y48" s="3">
        <f t="shared" si="16"/>
        <v>24134.04</v>
      </c>
      <c r="Z48" s="35"/>
      <c r="AA48" s="35"/>
      <c r="AB48" s="35"/>
      <c r="AC48" s="35">
        <f t="shared" si="24"/>
        <v>0</v>
      </c>
      <c r="AD48" s="36">
        <f>+IFERROR(VLOOKUP(C48,[3]Sheet1!E$3:N$919,6,0)," ")</f>
        <v>0</v>
      </c>
      <c r="AE48" s="37"/>
      <c r="AF48" s="38"/>
      <c r="AG48" s="35">
        <v>0</v>
      </c>
      <c r="AH48" s="3">
        <f t="shared" si="17"/>
        <v>902.28156254999976</v>
      </c>
      <c r="AI48" s="35"/>
      <c r="AJ48" s="35">
        <f t="shared" si="13"/>
        <v>902.28156254999976</v>
      </c>
      <c r="AK48" s="36"/>
      <c r="AM48" s="35"/>
      <c r="AN48" s="4">
        <f t="shared" si="14"/>
        <v>29246.968854449999</v>
      </c>
      <c r="AO48" s="3">
        <f t="shared" si="18"/>
        <v>829.08323054999346</v>
      </c>
      <c r="AP48" s="39">
        <f t="shared" si="19"/>
        <v>2.7566225387789078E-2</v>
      </c>
      <c r="AQ48" s="5">
        <f>+'[1]Project Master'!AC47</f>
        <v>1955.7268000000001</v>
      </c>
      <c r="AR48" s="6">
        <f t="shared" si="20"/>
        <v>28120.325284999992</v>
      </c>
      <c r="AS48" s="40">
        <f t="shared" si="21"/>
        <v>0.93497395221710655</v>
      </c>
      <c r="AT48" s="41">
        <f t="shared" si="22"/>
        <v>27291.242054449998</v>
      </c>
      <c r="AU48" s="39">
        <f t="shared" si="23"/>
        <v>-0.90740772682931747</v>
      </c>
    </row>
    <row r="49" spans="1:47" x14ac:dyDescent="0.25">
      <c r="A49" t="s">
        <v>61</v>
      </c>
      <c r="B49" s="2">
        <v>1112</v>
      </c>
      <c r="C49" t="s">
        <v>165</v>
      </c>
      <c r="D49" t="s">
        <v>89</v>
      </c>
      <c r="G49" t="s">
        <v>63</v>
      </c>
      <c r="H49" t="s">
        <v>190</v>
      </c>
      <c r="I49" t="s">
        <v>186</v>
      </c>
      <c r="L49" s="32">
        <f>+VLOOKUP(C49,'[2]January 2026'!E$13:K$73,7,0)</f>
        <v>4195.91</v>
      </c>
      <c r="M49" s="33" t="str">
        <f>+VLOOKUP(C49,'[2]January 2026'!E$13:N$73,10,0)</f>
        <v>INVOICE-4865</v>
      </c>
      <c r="N49" s="34">
        <v>0.03</v>
      </c>
      <c r="O49" s="35">
        <f t="shared" si="7"/>
        <v>125.87729999999999</v>
      </c>
      <c r="P49" s="34"/>
      <c r="Q49" s="35">
        <f t="shared" si="15"/>
        <v>0</v>
      </c>
      <c r="R49" s="35">
        <f t="shared" si="8"/>
        <v>209.7955</v>
      </c>
      <c r="S49" s="35">
        <f t="shared" si="9"/>
        <v>209.7955</v>
      </c>
      <c r="T49" s="35">
        <f t="shared" si="10"/>
        <v>41.959099999999999</v>
      </c>
      <c r="U49" s="36"/>
      <c r="V49" s="36">
        <v>3987.68</v>
      </c>
      <c r="W49" s="36">
        <f>+IFERROR(VLOOKUP(C49,[3]Sheet1!E$3:N$919,10,0)," ")</f>
        <v>0</v>
      </c>
      <c r="X49" s="36">
        <f>+IFERROR(VLOOKUP(C49,[3]Sheet1!E$3:N$919,9,0)," ")</f>
        <v>0</v>
      </c>
      <c r="Y49" s="3">
        <f t="shared" si="16"/>
        <v>3987.68</v>
      </c>
      <c r="Z49" s="35"/>
      <c r="AA49" s="35"/>
      <c r="AB49" s="35"/>
      <c r="AC49" s="35">
        <f t="shared" si="24"/>
        <v>0</v>
      </c>
      <c r="AD49" s="36">
        <f>+IFERROR(VLOOKUP(C49,[3]Sheet1!E$3:N$919,6,0)," ")</f>
        <v>0</v>
      </c>
      <c r="AE49" s="37"/>
      <c r="AF49" s="38"/>
      <c r="AG49" s="35">
        <f t="shared" si="12"/>
        <v>0</v>
      </c>
      <c r="AH49" s="3">
        <v>0</v>
      </c>
      <c r="AI49" s="35"/>
      <c r="AJ49" s="35">
        <f t="shared" si="13"/>
        <v>0</v>
      </c>
      <c r="AK49" s="36"/>
      <c r="AM49" s="35"/>
      <c r="AN49" s="4">
        <f t="shared" si="14"/>
        <v>4575.1073999999999</v>
      </c>
      <c r="AO49" s="3">
        <f t="shared" si="18"/>
        <v>-379.19740000000002</v>
      </c>
      <c r="AP49" s="39">
        <f t="shared" si="19"/>
        <v>-9.0373101424959079E-2</v>
      </c>
      <c r="AQ49" s="5">
        <f>+'[1]Project Master'!AC48</f>
        <v>340.77719999999999</v>
      </c>
      <c r="AR49" s="6">
        <f t="shared" si="20"/>
        <v>3855.1327999999999</v>
      </c>
      <c r="AS49" s="40">
        <f t="shared" si="21"/>
        <v>0.91878348200986193</v>
      </c>
      <c r="AT49" s="41">
        <f t="shared" si="22"/>
        <v>4234.3302000000003</v>
      </c>
      <c r="AU49" s="39">
        <f t="shared" si="23"/>
        <v>-1.0091565834348211</v>
      </c>
    </row>
    <row r="50" spans="1:47" x14ac:dyDescent="0.25">
      <c r="A50" t="s">
        <v>61</v>
      </c>
      <c r="B50" s="2">
        <v>1113</v>
      </c>
      <c r="C50" t="s">
        <v>166</v>
      </c>
      <c r="D50" t="s">
        <v>90</v>
      </c>
      <c r="G50" t="s">
        <v>63</v>
      </c>
      <c r="H50" t="s">
        <v>190</v>
      </c>
      <c r="I50" t="s">
        <v>186</v>
      </c>
      <c r="L50" s="32">
        <f>+VLOOKUP(C50,'[2]January 2026'!E$13:K$73,7,0)</f>
        <v>2125.79</v>
      </c>
      <c r="M50" s="33" t="str">
        <f>+VLOOKUP(C50,'[2]January 2026'!E$13:N$73,10,0)</f>
        <v>INVOICE-4866</v>
      </c>
      <c r="N50" s="34">
        <v>0.03</v>
      </c>
      <c r="O50" s="35">
        <f t="shared" si="7"/>
        <v>63.773699999999998</v>
      </c>
      <c r="P50" s="34"/>
      <c r="Q50" s="35">
        <f t="shared" si="15"/>
        <v>0</v>
      </c>
      <c r="R50" s="35">
        <f t="shared" si="8"/>
        <v>106.2895</v>
      </c>
      <c r="S50" s="35">
        <f t="shared" si="9"/>
        <v>106.2895</v>
      </c>
      <c r="T50" s="35">
        <f t="shared" si="10"/>
        <v>21.257899999999999</v>
      </c>
      <c r="U50" s="36"/>
      <c r="V50" s="36">
        <f>+IFERROR(VLOOKUP(C50,[3]Sheet1!E$3:N$919,5,0)," ")</f>
        <v>0</v>
      </c>
      <c r="W50" s="36">
        <f>+IFERROR(VLOOKUP(C50,[3]Sheet1!E$3:N$919,10,0)," ")</f>
        <v>0</v>
      </c>
      <c r="X50" s="36">
        <f>+IFERROR(VLOOKUP(C50,[3]Sheet1!E$3:N$919,9,0)," ")</f>
        <v>0</v>
      </c>
      <c r="Y50" s="3">
        <f t="shared" si="16"/>
        <v>0</v>
      </c>
      <c r="Z50" s="35"/>
      <c r="AA50" s="35"/>
      <c r="AB50" s="35"/>
      <c r="AC50" s="35">
        <f t="shared" si="24"/>
        <v>0</v>
      </c>
      <c r="AD50" s="36">
        <f>+IFERROR(VLOOKUP(C50,[3]Sheet1!E$3:N$919,6,0)," ")</f>
        <v>0</v>
      </c>
      <c r="AE50" s="37"/>
      <c r="AF50" s="38"/>
      <c r="AG50" s="35">
        <f t="shared" si="12"/>
        <v>0</v>
      </c>
      <c r="AH50" s="3">
        <f t="shared" si="17"/>
        <v>63.773699999999998</v>
      </c>
      <c r="AI50" s="35"/>
      <c r="AJ50" s="35">
        <f t="shared" si="13"/>
        <v>63.773699999999998</v>
      </c>
      <c r="AK50" s="36"/>
      <c r="AM50" s="35"/>
      <c r="AN50" s="4">
        <f t="shared" si="14"/>
        <v>361.3843</v>
      </c>
      <c r="AO50" s="3">
        <f t="shared" si="18"/>
        <v>1764.4057</v>
      </c>
      <c r="AP50" s="39">
        <f t="shared" si="19"/>
        <v>0.83000000000000007</v>
      </c>
      <c r="AQ50" s="5">
        <f>+'[1]Project Master'!AC49</f>
        <v>9556.9507999999987</v>
      </c>
      <c r="AR50" s="6">
        <f t="shared" si="20"/>
        <v>-7431.1607999999987</v>
      </c>
      <c r="AS50" s="40">
        <f t="shared" si="21"/>
        <v>-3.4957172627587858</v>
      </c>
      <c r="AT50" s="41">
        <f t="shared" si="22"/>
        <v>-9195.566499999999</v>
      </c>
      <c r="AU50" s="39">
        <f t="shared" si="23"/>
        <v>4.3257172627587863</v>
      </c>
    </row>
    <row r="51" spans="1:47" x14ac:dyDescent="0.25">
      <c r="A51" t="s">
        <v>61</v>
      </c>
      <c r="B51" s="2">
        <v>1114</v>
      </c>
      <c r="C51" t="s">
        <v>167</v>
      </c>
      <c r="D51" t="s">
        <v>91</v>
      </c>
      <c r="G51" t="s">
        <v>63</v>
      </c>
      <c r="H51" t="s">
        <v>190</v>
      </c>
      <c r="I51" t="s">
        <v>186</v>
      </c>
      <c r="L51" s="32">
        <f>+VLOOKUP(C51,'[2]January 2026'!E$13:K$73,7,0)</f>
        <v>370.41</v>
      </c>
      <c r="M51" s="33" t="str">
        <f>+VLOOKUP(C51,'[2]January 2026'!E$13:N$73,10,0)</f>
        <v>INVOICE-4867</v>
      </c>
      <c r="N51" s="34">
        <v>0.01</v>
      </c>
      <c r="O51" s="35">
        <f t="shared" si="7"/>
        <v>3.7041000000000004</v>
      </c>
      <c r="P51" s="34"/>
      <c r="Q51" s="35">
        <f t="shared" si="15"/>
        <v>0</v>
      </c>
      <c r="R51" s="35">
        <f t="shared" si="8"/>
        <v>18.520500000000002</v>
      </c>
      <c r="S51" s="35">
        <f t="shared" si="9"/>
        <v>18.520500000000002</v>
      </c>
      <c r="T51" s="35">
        <f t="shared" si="10"/>
        <v>3.7041000000000004</v>
      </c>
      <c r="U51" s="36"/>
      <c r="V51" s="36">
        <f>+IFERROR(VLOOKUP(C51,[3]Sheet1!E$3:N$919,5,0)," ")</f>
        <v>0</v>
      </c>
      <c r="W51" s="36">
        <f>+IFERROR(VLOOKUP(C51,[3]Sheet1!E$3:N$919,10,0)," ")</f>
        <v>0</v>
      </c>
      <c r="X51" s="36">
        <f>+IFERROR(VLOOKUP(C51,[3]Sheet1!E$3:N$919,9,0)," ")</f>
        <v>0</v>
      </c>
      <c r="Y51" s="3">
        <f t="shared" si="16"/>
        <v>0</v>
      </c>
      <c r="Z51" s="35"/>
      <c r="AA51" s="35"/>
      <c r="AB51" s="35"/>
      <c r="AC51" s="35">
        <f t="shared" si="24"/>
        <v>0</v>
      </c>
      <c r="AD51" s="36">
        <f>+IFERROR(VLOOKUP(C51,[3]Sheet1!E$3:N$919,6,0)," ")</f>
        <v>0</v>
      </c>
      <c r="AE51" s="37"/>
      <c r="AF51" s="38"/>
      <c r="AG51" s="35">
        <f t="shared" si="12"/>
        <v>0</v>
      </c>
      <c r="AH51" s="3">
        <f t="shared" si="17"/>
        <v>11.112300000000001</v>
      </c>
      <c r="AI51" s="35"/>
      <c r="AJ51" s="35">
        <f t="shared" si="13"/>
        <v>11.112300000000001</v>
      </c>
      <c r="AK51" s="36"/>
      <c r="AM51" s="35"/>
      <c r="AN51" s="4">
        <f t="shared" si="14"/>
        <v>55.561499999999995</v>
      </c>
      <c r="AO51" s="3">
        <f t="shared" si="18"/>
        <v>314.84850000000006</v>
      </c>
      <c r="AP51" s="39">
        <f t="shared" si="19"/>
        <v>0.85000000000000009</v>
      </c>
      <c r="AQ51" s="5">
        <f>+'[1]Project Master'!AC50</f>
        <v>3373.5203999999999</v>
      </c>
      <c r="AR51" s="6">
        <f t="shared" si="20"/>
        <v>-3003.1104</v>
      </c>
      <c r="AS51" s="40">
        <f t="shared" si="21"/>
        <v>-8.1075305742285568</v>
      </c>
      <c r="AT51" s="41">
        <f t="shared" si="22"/>
        <v>-3317.9589000000001</v>
      </c>
      <c r="AU51" s="39">
        <f t="shared" si="23"/>
        <v>8.9575305742285565</v>
      </c>
    </row>
    <row r="52" spans="1:47" x14ac:dyDescent="0.25">
      <c r="A52" t="s">
        <v>61</v>
      </c>
      <c r="B52" s="2">
        <v>1116</v>
      </c>
      <c r="C52" t="s">
        <v>168</v>
      </c>
      <c r="D52" t="s">
        <v>92</v>
      </c>
      <c r="G52" t="s">
        <v>63</v>
      </c>
      <c r="H52" t="s">
        <v>190</v>
      </c>
      <c r="I52" t="s">
        <v>186</v>
      </c>
      <c r="L52" s="32">
        <f>+VLOOKUP(C52,'[2]January 2026'!E$13:K$73,7,0)</f>
        <v>10387.99</v>
      </c>
      <c r="M52" s="33" t="str">
        <f>+VLOOKUP(C52,'[2]January 2026'!E$13:N$73,10,0)</f>
        <v>INVOICE-4868</v>
      </c>
      <c r="N52" s="34">
        <v>0.02</v>
      </c>
      <c r="O52" s="35">
        <f t="shared" si="7"/>
        <v>207.75980000000001</v>
      </c>
      <c r="P52" s="34"/>
      <c r="Q52" s="35">
        <f t="shared" si="15"/>
        <v>0</v>
      </c>
      <c r="R52" s="35">
        <f t="shared" si="8"/>
        <v>519.39949999999999</v>
      </c>
      <c r="S52" s="35">
        <f t="shared" si="9"/>
        <v>519.39949999999999</v>
      </c>
      <c r="T52" s="35">
        <f t="shared" si="10"/>
        <v>103.87990000000001</v>
      </c>
      <c r="U52" s="36"/>
      <c r="V52" s="36">
        <f>+IFERROR(VLOOKUP(C52,[3]Sheet1!E$3:N$919,5,0)," ")</f>
        <v>0</v>
      </c>
      <c r="W52" s="36">
        <f>+IFERROR(VLOOKUP(C52,[3]Sheet1!E$3:N$919,10,0)," ")</f>
        <v>0</v>
      </c>
      <c r="X52" s="36">
        <f>+IFERROR(VLOOKUP(C52,[3]Sheet1!E$3:N$919,9,0)," ")</f>
        <v>0</v>
      </c>
      <c r="Y52" s="3">
        <f t="shared" si="16"/>
        <v>0</v>
      </c>
      <c r="Z52" s="35"/>
      <c r="AA52" s="35"/>
      <c r="AB52" s="35"/>
      <c r="AC52" s="35">
        <f t="shared" si="24"/>
        <v>0</v>
      </c>
      <c r="AD52" s="36">
        <f>+IFERROR(VLOOKUP(C52,[3]Sheet1!E$3:N$919,6,0)," ")</f>
        <v>0</v>
      </c>
      <c r="AE52" s="37"/>
      <c r="AF52" s="38"/>
      <c r="AG52" s="35">
        <f t="shared" si="12"/>
        <v>0</v>
      </c>
      <c r="AH52" s="3">
        <f t="shared" si="17"/>
        <v>311.6397</v>
      </c>
      <c r="AI52" s="35"/>
      <c r="AJ52" s="35">
        <f t="shared" si="13"/>
        <v>311.6397</v>
      </c>
      <c r="AK52" s="36"/>
      <c r="AM52" s="35"/>
      <c r="AN52" s="4">
        <f t="shared" si="14"/>
        <v>1662.0784000000001</v>
      </c>
      <c r="AO52" s="3">
        <f t="shared" si="18"/>
        <v>8725.9115999999995</v>
      </c>
      <c r="AP52" s="39">
        <f t="shared" si="19"/>
        <v>0.84</v>
      </c>
      <c r="AQ52" s="5">
        <f>+'[1]Project Master'!AC52</f>
        <v>3777.0692000000004</v>
      </c>
      <c r="AR52" s="6">
        <f t="shared" si="20"/>
        <v>6610.9207999999999</v>
      </c>
      <c r="AS52" s="40">
        <f t="shared" si="21"/>
        <v>0.6364003815945144</v>
      </c>
      <c r="AT52" s="41">
        <f t="shared" si="22"/>
        <v>-2114.9908000000005</v>
      </c>
      <c r="AU52" s="39">
        <f t="shared" si="23"/>
        <v>0.20359961840548557</v>
      </c>
    </row>
    <row r="53" spans="1:47" x14ac:dyDescent="0.25">
      <c r="A53" t="s">
        <v>61</v>
      </c>
      <c r="B53" s="2">
        <v>1117</v>
      </c>
      <c r="C53" t="s">
        <v>169</v>
      </c>
      <c r="D53" t="s">
        <v>93</v>
      </c>
      <c r="G53" t="s">
        <v>63</v>
      </c>
      <c r="H53" t="s">
        <v>190</v>
      </c>
      <c r="I53" t="s">
        <v>186</v>
      </c>
      <c r="L53" s="32">
        <f>+VLOOKUP(C53,'[2]January 2026'!E$13:K$73,7,0)</f>
        <v>3666.87</v>
      </c>
      <c r="M53" s="33" t="str">
        <f>+VLOOKUP(C53,'[2]January 2026'!E$13:N$73,10,0)</f>
        <v>INVOICE-4869</v>
      </c>
      <c r="N53" s="34"/>
      <c r="O53" s="35">
        <f t="shared" si="7"/>
        <v>0</v>
      </c>
      <c r="P53" s="34"/>
      <c r="Q53" s="35">
        <f t="shared" si="15"/>
        <v>0</v>
      </c>
      <c r="R53" s="35">
        <f t="shared" si="8"/>
        <v>183.34350000000001</v>
      </c>
      <c r="S53" s="35">
        <f t="shared" si="9"/>
        <v>183.34350000000001</v>
      </c>
      <c r="T53" s="35">
        <f t="shared" si="10"/>
        <v>36.668700000000001</v>
      </c>
      <c r="U53" s="36"/>
      <c r="V53" s="36">
        <f>+IFERROR(VLOOKUP(C53,[3]Sheet1!E$3:N$919,5,0)," ")</f>
        <v>2223.3333333333335</v>
      </c>
      <c r="W53" s="36">
        <f>+IFERROR(VLOOKUP(C53,[3]Sheet1!E$3:N$919,10,0)," ")</f>
        <v>0</v>
      </c>
      <c r="X53" s="36">
        <f>+IFERROR(VLOOKUP(C53,[3]Sheet1!E$3:N$919,9,0)," ")</f>
        <v>0</v>
      </c>
      <c r="Y53" s="3">
        <f t="shared" si="16"/>
        <v>2223.3333333333335</v>
      </c>
      <c r="Z53" s="35"/>
      <c r="AA53" s="35"/>
      <c r="AB53" s="35"/>
      <c r="AC53" s="35">
        <f t="shared" si="24"/>
        <v>0</v>
      </c>
      <c r="AD53" s="36">
        <f>+IFERROR(VLOOKUP(C53,[3]Sheet1!E$3:N$919,6,0)," ")</f>
        <v>0</v>
      </c>
      <c r="AE53" s="37"/>
      <c r="AF53" s="38"/>
      <c r="AG53" s="35">
        <f t="shared" si="12"/>
        <v>0</v>
      </c>
      <c r="AH53" s="3">
        <v>0</v>
      </c>
      <c r="AI53" s="35"/>
      <c r="AJ53" s="35">
        <f t="shared" si="13"/>
        <v>0</v>
      </c>
      <c r="AK53" s="36"/>
      <c r="AM53" s="35"/>
      <c r="AN53" s="4">
        <f t="shared" si="14"/>
        <v>2626.6890333333336</v>
      </c>
      <c r="AO53" s="3">
        <f t="shared" si="18"/>
        <v>1040.1809666666663</v>
      </c>
      <c r="AP53" s="39">
        <f t="shared" si="19"/>
        <v>0.2836699873916082</v>
      </c>
      <c r="AQ53" s="5">
        <f>+'[1]Project Master'!AC53</f>
        <v>552</v>
      </c>
      <c r="AR53" s="6">
        <f t="shared" si="20"/>
        <v>3114.87</v>
      </c>
      <c r="AS53" s="40">
        <f t="shared" si="21"/>
        <v>0.84946289342136483</v>
      </c>
      <c r="AT53" s="41">
        <f t="shared" si="22"/>
        <v>2074.6890333333336</v>
      </c>
      <c r="AU53" s="39">
        <f t="shared" si="23"/>
        <v>-0.56579290602975663</v>
      </c>
    </row>
    <row r="54" spans="1:47" x14ac:dyDescent="0.25">
      <c r="A54" t="s">
        <v>61</v>
      </c>
      <c r="B54" s="2">
        <v>1118</v>
      </c>
      <c r="C54" t="s">
        <v>170</v>
      </c>
      <c r="D54" t="s">
        <v>94</v>
      </c>
      <c r="G54" t="s">
        <v>63</v>
      </c>
      <c r="H54" t="s">
        <v>190</v>
      </c>
      <c r="I54" t="s">
        <v>186</v>
      </c>
      <c r="L54" s="32">
        <f>+VLOOKUP(C54,'[2]January 2026'!E$13:K$73,7,0)</f>
        <v>5997.7307000000001</v>
      </c>
      <c r="M54" s="33" t="str">
        <f>+VLOOKUP(C54,'[2]January 2026'!E$13:N$73,10,0)</f>
        <v>INVOICE-4870</v>
      </c>
      <c r="N54" s="34"/>
      <c r="O54" s="35">
        <f t="shared" si="7"/>
        <v>0</v>
      </c>
      <c r="P54" s="34"/>
      <c r="Q54" s="35">
        <f t="shared" si="15"/>
        <v>0</v>
      </c>
      <c r="R54" s="35">
        <f t="shared" si="8"/>
        <v>299.88653500000004</v>
      </c>
      <c r="S54" s="35">
        <f t="shared" si="9"/>
        <v>299.88653500000004</v>
      </c>
      <c r="T54" s="35">
        <f t="shared" si="10"/>
        <v>59.977307000000003</v>
      </c>
      <c r="U54" s="36"/>
      <c r="V54" s="36">
        <f>+IFERROR(VLOOKUP(C54,[3]Sheet1!E$3:N$919,5,0)," ")</f>
        <v>483.20577777777771</v>
      </c>
      <c r="W54" s="36">
        <f>+IFERROR(VLOOKUP(C54,[3]Sheet1!E$3:N$919,10,0)," ")</f>
        <v>1316.95</v>
      </c>
      <c r="X54" s="36">
        <f>+IFERROR(VLOOKUP(C54,[3]Sheet1!E$3:N$919,9,0)," ")</f>
        <v>0</v>
      </c>
      <c r="Y54" s="3">
        <f t="shared" si="16"/>
        <v>1800.1557777777778</v>
      </c>
      <c r="Z54" s="35"/>
      <c r="AA54" s="35"/>
      <c r="AB54" s="35"/>
      <c r="AC54" s="35">
        <f t="shared" si="24"/>
        <v>0</v>
      </c>
      <c r="AD54" s="36">
        <f>+IFERROR(VLOOKUP(C54,[3]Sheet1!E$3:N$919,6,0)," ")</f>
        <v>208.73</v>
      </c>
      <c r="AE54" s="37"/>
      <c r="AF54" s="38"/>
      <c r="AG54" s="35">
        <f t="shared" si="12"/>
        <v>208.73</v>
      </c>
      <c r="AH54" s="3">
        <f t="shared" si="17"/>
        <v>179.93192099999999</v>
      </c>
      <c r="AI54" s="35"/>
      <c r="AJ54" s="35">
        <f t="shared" si="13"/>
        <v>179.93192099999999</v>
      </c>
      <c r="AK54" s="36"/>
      <c r="AM54" s="35"/>
      <c r="AN54" s="4">
        <f t="shared" si="14"/>
        <v>2848.5680757777782</v>
      </c>
      <c r="AO54" s="3">
        <f t="shared" si="18"/>
        <v>3149.1626242222219</v>
      </c>
      <c r="AP54" s="39">
        <f t="shared" si="19"/>
        <v>0.52505902344402056</v>
      </c>
      <c r="AQ54" s="5">
        <f>+'[1]Project Master'!AC54</f>
        <v>3879.6399999999994</v>
      </c>
      <c r="AR54" s="6">
        <f t="shared" si="20"/>
        <v>2118.0907000000007</v>
      </c>
      <c r="AS54" s="40">
        <f t="shared" si="21"/>
        <v>0.3531486833845342</v>
      </c>
      <c r="AT54" s="41">
        <f t="shared" si="22"/>
        <v>-1031.0719242222212</v>
      </c>
      <c r="AU54" s="39">
        <f t="shared" si="23"/>
        <v>0.17191034005948636</v>
      </c>
    </row>
    <row r="55" spans="1:47" x14ac:dyDescent="0.25">
      <c r="A55" t="s">
        <v>61</v>
      </c>
      <c r="B55" s="2">
        <v>1119</v>
      </c>
      <c r="C55" t="s">
        <v>171</v>
      </c>
      <c r="D55" t="s">
        <v>95</v>
      </c>
      <c r="G55" t="s">
        <v>63</v>
      </c>
      <c r="H55" t="s">
        <v>190</v>
      </c>
      <c r="I55" t="s">
        <v>186</v>
      </c>
      <c r="L55" s="32">
        <f>+VLOOKUP(C55,'[2]January 2026'!E$13:K$73,7,0)</f>
        <v>16478.116785975686</v>
      </c>
      <c r="M55" s="33" t="str">
        <f>+VLOOKUP(C55,'[2]January 2026'!E$13:N$73,10,0)</f>
        <v>INVOICE-4871</v>
      </c>
      <c r="N55" s="34"/>
      <c r="O55" s="35">
        <f t="shared" si="7"/>
        <v>0</v>
      </c>
      <c r="P55" s="34"/>
      <c r="Q55" s="35">
        <f t="shared" si="15"/>
        <v>0</v>
      </c>
      <c r="R55" s="35">
        <f t="shared" si="8"/>
        <v>823.90583929878437</v>
      </c>
      <c r="S55" s="35">
        <f t="shared" si="9"/>
        <v>823.90583929878437</v>
      </c>
      <c r="T55" s="35">
        <f t="shared" si="10"/>
        <v>164.78116785975686</v>
      </c>
      <c r="U55" s="36"/>
      <c r="V55" s="36">
        <f>+IFERROR(VLOOKUP(C55,[3]Sheet1!E$3:N$919,5,0)," ")</f>
        <v>9341.75</v>
      </c>
      <c r="W55" s="36">
        <f>+IFERROR(VLOOKUP(C55,[3]Sheet1!E$3:N$919,10,0)," ")</f>
        <v>3536.65</v>
      </c>
      <c r="X55" s="36">
        <f>+IFERROR(VLOOKUP(C55,[3]Sheet1!E$3:N$919,9,0)," ")</f>
        <v>0</v>
      </c>
      <c r="Y55" s="3">
        <f t="shared" si="16"/>
        <v>12878.4</v>
      </c>
      <c r="Z55" s="35"/>
      <c r="AA55" s="35"/>
      <c r="AB55" s="35"/>
      <c r="AC55" s="35">
        <f t="shared" si="24"/>
        <v>0</v>
      </c>
      <c r="AD55" s="36">
        <f>+IFERROR(VLOOKUP(C55,[3]Sheet1!E$3:N$919,6,0)," ")</f>
        <v>0</v>
      </c>
      <c r="AE55" s="37"/>
      <c r="AF55" s="38"/>
      <c r="AG55" s="35">
        <f t="shared" si="12"/>
        <v>0</v>
      </c>
      <c r="AH55" s="3">
        <f t="shared" si="17"/>
        <v>494.34350357927059</v>
      </c>
      <c r="AI55" s="35"/>
      <c r="AJ55" s="35">
        <f t="shared" si="13"/>
        <v>494.34350357927059</v>
      </c>
      <c r="AK55" s="36"/>
      <c r="AM55" s="35"/>
      <c r="AN55" s="4">
        <f t="shared" si="14"/>
        <v>15185.336350036596</v>
      </c>
      <c r="AO55" s="3">
        <f t="shared" si="18"/>
        <v>1292.7804359390902</v>
      </c>
      <c r="AP55" s="39">
        <f t="shared" si="19"/>
        <v>7.8454379995616913E-2</v>
      </c>
      <c r="AQ55" s="5">
        <f>+'[1]Project Master'!AC55</f>
        <v>930.89279999999985</v>
      </c>
      <c r="AR55" s="6">
        <f t="shared" si="20"/>
        <v>15547.223985975686</v>
      </c>
      <c r="AS55" s="40">
        <f t="shared" si="21"/>
        <v>0.94350733083817739</v>
      </c>
      <c r="AT55" s="41">
        <f t="shared" si="22"/>
        <v>14254.443550036596</v>
      </c>
      <c r="AU55" s="39">
        <f t="shared" si="23"/>
        <v>-0.86505295084256051</v>
      </c>
    </row>
    <row r="56" spans="1:47" x14ac:dyDescent="0.25">
      <c r="A56" t="s">
        <v>61</v>
      </c>
      <c r="B56" s="2">
        <v>1120</v>
      </c>
      <c r="C56" t="s">
        <v>172</v>
      </c>
      <c r="D56" t="s">
        <v>96</v>
      </c>
      <c r="G56" t="s">
        <v>63</v>
      </c>
      <c r="H56" t="s">
        <v>190</v>
      </c>
      <c r="I56" t="s">
        <v>186</v>
      </c>
      <c r="L56" s="32">
        <f>+VLOOKUP(C56,'[2]January 2026'!E$13:K$73,7,0)</f>
        <v>14579.72683842832</v>
      </c>
      <c r="M56" s="33" t="str">
        <f>+VLOOKUP(C56,'[2]January 2026'!E$13:N$73,10,0)</f>
        <v>INVOICE-4872</v>
      </c>
      <c r="N56" s="34"/>
      <c r="O56" s="35">
        <f t="shared" si="7"/>
        <v>0</v>
      </c>
      <c r="P56" s="34"/>
      <c r="Q56" s="35">
        <f t="shared" si="15"/>
        <v>0</v>
      </c>
      <c r="R56" s="35">
        <f t="shared" si="8"/>
        <v>728.98634192141606</v>
      </c>
      <c r="S56" s="35">
        <f t="shared" si="9"/>
        <v>728.98634192141606</v>
      </c>
      <c r="T56" s="35">
        <f t="shared" si="10"/>
        <v>145.7972683842832</v>
      </c>
      <c r="U56" s="36"/>
      <c r="V56" s="36">
        <f>+IFERROR(VLOOKUP(C56,[3]Sheet1!E$3:N$919,5,0)," ")</f>
        <v>8791.625</v>
      </c>
      <c r="W56" s="36">
        <f>+IFERROR(VLOOKUP(C56,[3]Sheet1!E$3:N$919,10,0)," ")</f>
        <v>723.19</v>
      </c>
      <c r="X56" s="36">
        <f>+IFERROR(VLOOKUP(C56,[3]Sheet1!E$3:N$919,9,0)," ")</f>
        <v>0</v>
      </c>
      <c r="Y56" s="3">
        <f t="shared" si="16"/>
        <v>9514.8150000000005</v>
      </c>
      <c r="Z56" s="35"/>
      <c r="AA56" s="35"/>
      <c r="AB56" s="35"/>
      <c r="AC56" s="35">
        <f t="shared" si="24"/>
        <v>0</v>
      </c>
      <c r="AD56" s="36">
        <f>+IFERROR(VLOOKUP(C56,[3]Sheet1!E$3:N$919,6,0)," ")</f>
        <v>0</v>
      </c>
      <c r="AE56" s="37"/>
      <c r="AF56" s="38"/>
      <c r="AG56" s="35">
        <f t="shared" si="12"/>
        <v>0</v>
      </c>
      <c r="AH56" s="3">
        <f t="shared" si="17"/>
        <v>437.3918051528496</v>
      </c>
      <c r="AI56" s="35"/>
      <c r="AJ56" s="35">
        <f t="shared" si="13"/>
        <v>437.3918051528496</v>
      </c>
      <c r="AK56" s="36"/>
      <c r="AM56" s="35"/>
      <c r="AN56" s="4">
        <f t="shared" si="14"/>
        <v>11555.976757379965</v>
      </c>
      <c r="AO56" s="3">
        <f t="shared" si="18"/>
        <v>3023.7500810483543</v>
      </c>
      <c r="AP56" s="39">
        <f t="shared" si="19"/>
        <v>0.20739415179429463</v>
      </c>
      <c r="AQ56" s="5">
        <f>+'[1]Project Master'!AC56</f>
        <v>2758.2335999999996</v>
      </c>
      <c r="AR56" s="6">
        <f t="shared" si="20"/>
        <v>11821.49323842832</v>
      </c>
      <c r="AS56" s="40">
        <f t="shared" si="21"/>
        <v>0.81081719633251137</v>
      </c>
      <c r="AT56" s="41">
        <f t="shared" si="22"/>
        <v>8797.7431573799659</v>
      </c>
      <c r="AU56" s="39">
        <f t="shared" si="23"/>
        <v>-0.60342304453821671</v>
      </c>
    </row>
    <row r="57" spans="1:47" x14ac:dyDescent="0.25">
      <c r="A57" t="s">
        <v>61</v>
      </c>
      <c r="B57" s="2">
        <v>1121</v>
      </c>
      <c r="C57" t="s">
        <v>173</v>
      </c>
      <c r="D57" t="s">
        <v>97</v>
      </c>
      <c r="G57" t="s">
        <v>63</v>
      </c>
      <c r="H57" t="s">
        <v>190</v>
      </c>
      <c r="I57" t="s">
        <v>186</v>
      </c>
      <c r="L57" s="32">
        <f>+VLOOKUP(C57,'[2]January 2026'!E$13:K$73,7,0)</f>
        <v>4105.51</v>
      </c>
      <c r="M57" s="33" t="str">
        <f>+VLOOKUP(C57,'[2]January 2026'!E$13:N$73,10,0)</f>
        <v>INVOICE-4873</v>
      </c>
      <c r="N57" s="34">
        <v>0.02</v>
      </c>
      <c r="O57" s="35">
        <f t="shared" si="7"/>
        <v>82.110200000000006</v>
      </c>
      <c r="P57" s="34"/>
      <c r="Q57" s="35">
        <f t="shared" si="15"/>
        <v>0</v>
      </c>
      <c r="R57" s="35">
        <f t="shared" si="8"/>
        <v>205.27550000000002</v>
      </c>
      <c r="S57" s="35">
        <f t="shared" si="9"/>
        <v>205.27550000000002</v>
      </c>
      <c r="T57" s="35">
        <f t="shared" si="10"/>
        <v>41.055100000000003</v>
      </c>
      <c r="U57" s="36">
        <f>3606+3606</f>
        <v>7212</v>
      </c>
      <c r="V57" s="36">
        <f>+IFERROR(VLOOKUP(C57,[3]Sheet1!E$3:N$919,5,0)," ")</f>
        <v>0</v>
      </c>
      <c r="W57" s="36">
        <f>+IFERROR(VLOOKUP(C57,[3]Sheet1!E$3:N$919,10,0)," ")</f>
        <v>0</v>
      </c>
      <c r="X57" s="36">
        <f>+IFERROR(VLOOKUP(C57,[3]Sheet1!E$3:N$919,9,0)," ")</f>
        <v>0</v>
      </c>
      <c r="Y57" s="3">
        <f t="shared" si="16"/>
        <v>7212</v>
      </c>
      <c r="Z57" s="35"/>
      <c r="AA57" s="35"/>
      <c r="AB57" s="35"/>
      <c r="AC57" s="35">
        <f t="shared" si="24"/>
        <v>0</v>
      </c>
      <c r="AD57" s="36">
        <f>+IFERROR(VLOOKUP(C57,[3]Sheet1!E$3:N$919,6,0)," ")</f>
        <v>0</v>
      </c>
      <c r="AE57" s="37"/>
      <c r="AF57" s="38"/>
      <c r="AG57" s="35">
        <f t="shared" si="12"/>
        <v>0</v>
      </c>
      <c r="AH57" s="3">
        <f t="shared" si="17"/>
        <v>123.1653</v>
      </c>
      <c r="AI57" s="35"/>
      <c r="AJ57" s="35">
        <f t="shared" si="13"/>
        <v>123.1653</v>
      </c>
      <c r="AK57" s="36"/>
      <c r="AM57" s="35"/>
      <c r="AN57" s="4">
        <f t="shared" si="14"/>
        <v>7868.8815999999988</v>
      </c>
      <c r="AO57" s="3">
        <f t="shared" si="18"/>
        <v>-3763.3715999999986</v>
      </c>
      <c r="AP57" s="39">
        <f t="shared" si="19"/>
        <v>-0.91666360573960326</v>
      </c>
      <c r="AQ57" s="5">
        <f>+'[1]Project Master'!AC57</f>
        <v>11500</v>
      </c>
      <c r="AR57" s="6">
        <f t="shared" si="20"/>
        <v>-7394.49</v>
      </c>
      <c r="AS57" s="40">
        <f t="shared" si="21"/>
        <v>-1.8011136253473989</v>
      </c>
      <c r="AT57" s="41">
        <f t="shared" si="22"/>
        <v>-3631.1184000000012</v>
      </c>
      <c r="AU57" s="39">
        <f t="shared" si="23"/>
        <v>0.88445001960779568</v>
      </c>
    </row>
    <row r="58" spans="1:47" x14ac:dyDescent="0.25">
      <c r="A58" t="s">
        <v>61</v>
      </c>
      <c r="B58" s="2">
        <v>1122</v>
      </c>
      <c r="C58" t="s">
        <v>174</v>
      </c>
      <c r="D58" t="s">
        <v>98</v>
      </c>
      <c r="G58" t="s">
        <v>63</v>
      </c>
      <c r="H58" t="s">
        <v>190</v>
      </c>
      <c r="I58" t="s">
        <v>186</v>
      </c>
      <c r="L58" s="32">
        <f>+VLOOKUP(C58,'[2]January 2026'!E$13:K$73,7,0)</f>
        <v>600</v>
      </c>
      <c r="M58" s="33" t="str">
        <f>+VLOOKUP(C58,'[2]January 2026'!E$13:N$73,10,0)</f>
        <v>INVOICE-4874</v>
      </c>
      <c r="N58" s="34">
        <v>0.05</v>
      </c>
      <c r="O58" s="35">
        <f t="shared" si="7"/>
        <v>30</v>
      </c>
      <c r="P58" s="34"/>
      <c r="Q58" s="35">
        <f t="shared" si="15"/>
        <v>0</v>
      </c>
      <c r="R58" s="35">
        <f t="shared" si="8"/>
        <v>30</v>
      </c>
      <c r="S58" s="35">
        <f t="shared" si="9"/>
        <v>30</v>
      </c>
      <c r="T58" s="35">
        <f t="shared" si="10"/>
        <v>6</v>
      </c>
      <c r="U58" s="36"/>
      <c r="V58" s="36">
        <v>570</v>
      </c>
      <c r="W58" s="36">
        <f>+IFERROR(VLOOKUP(C58,[3]Sheet1!E$3:N$919,10,0)," ")</f>
        <v>0</v>
      </c>
      <c r="X58" s="36">
        <f>+IFERROR(VLOOKUP(C58,[3]Sheet1!E$3:N$919,9,0)," ")</f>
        <v>570</v>
      </c>
      <c r="Y58" s="3">
        <f t="shared" si="16"/>
        <v>1140</v>
      </c>
      <c r="Z58" s="35"/>
      <c r="AA58" s="35"/>
      <c r="AB58" s="35"/>
      <c r="AC58" s="35">
        <f t="shared" si="24"/>
        <v>0</v>
      </c>
      <c r="AD58" s="36">
        <f>+IFERROR(VLOOKUP(C58,[3]Sheet1!E$3:N$919,6,0)," ")</f>
        <v>0</v>
      </c>
      <c r="AE58" s="37"/>
      <c r="AF58" s="38"/>
      <c r="AG58" s="35">
        <f t="shared" si="12"/>
        <v>0</v>
      </c>
      <c r="AH58" s="3">
        <f t="shared" si="17"/>
        <v>18</v>
      </c>
      <c r="AI58" s="35"/>
      <c r="AJ58" s="35">
        <f t="shared" si="13"/>
        <v>18</v>
      </c>
      <c r="AK58" s="36"/>
      <c r="AM58" s="35"/>
      <c r="AN58" s="4">
        <f t="shared" si="14"/>
        <v>1254</v>
      </c>
      <c r="AO58" s="3">
        <f t="shared" si="18"/>
        <v>-654</v>
      </c>
      <c r="AP58" s="39">
        <f t="shared" si="19"/>
        <v>-1.0900000000000001</v>
      </c>
      <c r="AQ58" s="5">
        <f>+'[1]Project Master'!AC58</f>
        <v>10644.528799999998</v>
      </c>
      <c r="AR58" s="6">
        <f t="shared" si="20"/>
        <v>-10044.528799999998</v>
      </c>
      <c r="AS58" s="40">
        <f t="shared" si="21"/>
        <v>-16.740881333333331</v>
      </c>
      <c r="AT58" s="41">
        <f t="shared" si="22"/>
        <v>-9390.5287999999982</v>
      </c>
      <c r="AU58" s="39">
        <f t="shared" si="23"/>
        <v>15.650881333333331</v>
      </c>
    </row>
    <row r="59" spans="1:47" x14ac:dyDescent="0.25">
      <c r="A59" t="s">
        <v>61</v>
      </c>
      <c r="B59" s="2">
        <v>1123</v>
      </c>
      <c r="C59" t="s">
        <v>175</v>
      </c>
      <c r="D59" t="s">
        <v>99</v>
      </c>
      <c r="G59" t="s">
        <v>63</v>
      </c>
      <c r="H59" t="s">
        <v>190</v>
      </c>
      <c r="I59" t="s">
        <v>186</v>
      </c>
      <c r="L59" s="32">
        <f>+VLOOKUP(C59,'[2]January 2026'!E$13:K$73,7,0)</f>
        <v>4217</v>
      </c>
      <c r="M59" s="33" t="str">
        <f>+VLOOKUP(C59,'[2]January 2026'!E$13:N$73,10,0)</f>
        <v>INVOICE-4875</v>
      </c>
      <c r="N59" s="34">
        <v>0.05</v>
      </c>
      <c r="O59" s="35">
        <f t="shared" si="7"/>
        <v>210.85000000000002</v>
      </c>
      <c r="P59" s="43"/>
      <c r="Q59" s="35">
        <f t="shared" si="15"/>
        <v>0</v>
      </c>
      <c r="R59" s="35">
        <f t="shared" si="8"/>
        <v>210.85000000000002</v>
      </c>
      <c r="S59" s="35">
        <f t="shared" si="9"/>
        <v>210.85000000000002</v>
      </c>
      <c r="T59" s="35">
        <f t="shared" si="10"/>
        <v>42.17</v>
      </c>
      <c r="U59" s="36"/>
      <c r="V59" s="36">
        <f>+IFERROR(VLOOKUP(C59,[3]Sheet1!E$3:N$919,5,0)," ")</f>
        <v>0</v>
      </c>
      <c r="W59" s="36">
        <f>+IFERROR(VLOOKUP(C59,[3]Sheet1!E$3:N$919,10,0)," ")</f>
        <v>0</v>
      </c>
      <c r="X59" s="36">
        <f>+IFERROR(VLOOKUP(C59,[3]Sheet1!E$3:N$919,9,0)," ")</f>
        <v>3373.4</v>
      </c>
      <c r="Y59" s="3">
        <f t="shared" si="16"/>
        <v>3373.4</v>
      </c>
      <c r="Z59" s="35"/>
      <c r="AA59" s="35"/>
      <c r="AB59" s="35"/>
      <c r="AC59" s="35">
        <f t="shared" si="24"/>
        <v>0</v>
      </c>
      <c r="AD59" s="36">
        <f>+IFERROR(VLOOKUP(C59,[3]Sheet1!E$3:N$919,6,0)," ")</f>
        <v>0</v>
      </c>
      <c r="AE59" s="37"/>
      <c r="AF59" s="38"/>
      <c r="AG59" s="35">
        <f t="shared" si="12"/>
        <v>0</v>
      </c>
      <c r="AH59" s="3">
        <f t="shared" si="17"/>
        <v>126.50999999999999</v>
      </c>
      <c r="AI59" s="35"/>
      <c r="AJ59" s="35">
        <f t="shared" si="13"/>
        <v>126.50999999999999</v>
      </c>
      <c r="AK59" s="36"/>
      <c r="AM59" s="35"/>
      <c r="AN59" s="4">
        <f t="shared" si="14"/>
        <v>4174.63</v>
      </c>
      <c r="AO59" s="3">
        <f t="shared" si="18"/>
        <v>42.369999999999891</v>
      </c>
      <c r="AP59" s="39">
        <f t="shared" si="19"/>
        <v>1.0047427080863147E-2</v>
      </c>
      <c r="AQ59" s="5">
        <f>+'[1]Project Master'!AC59</f>
        <v>6859.975396848602</v>
      </c>
      <c r="AR59" s="6">
        <f t="shared" si="20"/>
        <v>-2642.975396848602</v>
      </c>
      <c r="AS59" s="40">
        <f t="shared" si="21"/>
        <v>-0.62674303932857534</v>
      </c>
      <c r="AT59" s="41">
        <f t="shared" si="22"/>
        <v>-2685.3453968486019</v>
      </c>
      <c r="AU59" s="39">
        <f t="shared" si="23"/>
        <v>0.63679046640943848</v>
      </c>
    </row>
    <row r="60" spans="1:47" x14ac:dyDescent="0.25">
      <c r="A60" t="s">
        <v>61</v>
      </c>
      <c r="B60" s="2">
        <v>1124</v>
      </c>
      <c r="C60" t="s">
        <v>176</v>
      </c>
      <c r="D60" t="s">
        <v>100</v>
      </c>
      <c r="G60" t="s">
        <v>63</v>
      </c>
      <c r="H60" t="s">
        <v>189</v>
      </c>
      <c r="I60" t="s">
        <v>185</v>
      </c>
      <c r="L60" s="32">
        <f>+VLOOKUP(C60,'[2]January 2026'!E$13:K$73,7,0)</f>
        <v>12500</v>
      </c>
      <c r="M60" s="33" t="str">
        <f>+VLOOKUP(C60,'[2]January 2026'!E$13:N$73,10,0)</f>
        <v>INVOICE-4876</v>
      </c>
      <c r="N60" s="34"/>
      <c r="O60" s="35">
        <f t="shared" si="7"/>
        <v>0</v>
      </c>
      <c r="P60" s="34"/>
      <c r="Q60" s="35">
        <f t="shared" si="15"/>
        <v>0</v>
      </c>
      <c r="R60" s="35">
        <f t="shared" si="8"/>
        <v>625</v>
      </c>
      <c r="S60" s="35">
        <f t="shared" si="9"/>
        <v>625</v>
      </c>
      <c r="T60" s="35">
        <f t="shared" si="10"/>
        <v>125</v>
      </c>
      <c r="U60" s="36"/>
      <c r="V60" s="36">
        <f>+IFERROR(VLOOKUP(C60,[3]Sheet1!E$3:N$919,5,0)," ")</f>
        <v>2090.35</v>
      </c>
      <c r="W60" s="36">
        <f>+IFERROR(VLOOKUP(C60,[3]Sheet1!E$3:N$919,10,0)," ")</f>
        <v>0</v>
      </c>
      <c r="X60" s="36">
        <f>+IFERROR(VLOOKUP(C60,[3]Sheet1!E$3:N$919,9,0)," ")</f>
        <v>0</v>
      </c>
      <c r="Y60" s="3">
        <f t="shared" si="16"/>
        <v>2090.35</v>
      </c>
      <c r="Z60" s="35"/>
      <c r="AA60" s="35"/>
      <c r="AB60" s="35"/>
      <c r="AC60" s="35">
        <f t="shared" si="24"/>
        <v>0</v>
      </c>
      <c r="AD60" s="36">
        <f>+IFERROR(VLOOKUP(C60,[3]Sheet1!E$3:N$919,6,0)," ")</f>
        <v>218</v>
      </c>
      <c r="AE60" s="37"/>
      <c r="AF60" s="38"/>
      <c r="AG60" s="35">
        <f t="shared" si="12"/>
        <v>218</v>
      </c>
      <c r="AH60" s="3">
        <f t="shared" si="17"/>
        <v>375</v>
      </c>
      <c r="AI60" s="35"/>
      <c r="AJ60" s="35">
        <f t="shared" si="13"/>
        <v>375</v>
      </c>
      <c r="AK60" s="36"/>
      <c r="AM60" s="35"/>
      <c r="AN60" s="4">
        <f t="shared" si="14"/>
        <v>4058.35</v>
      </c>
      <c r="AO60" s="3">
        <f t="shared" si="18"/>
        <v>8441.65</v>
      </c>
      <c r="AP60" s="39">
        <f t="shared" si="19"/>
        <v>0.67533199999999993</v>
      </c>
      <c r="AQ60" s="5">
        <f>+'[1]Project Master'!AC60</f>
        <v>57488.655978440947</v>
      </c>
      <c r="AR60" s="6">
        <f t="shared" si="20"/>
        <v>-44988.655978440947</v>
      </c>
      <c r="AS60" s="40">
        <f t="shared" si="21"/>
        <v>-3.599092478275276</v>
      </c>
      <c r="AT60" s="41">
        <f t="shared" si="22"/>
        <v>-53430.305978440949</v>
      </c>
      <c r="AU60" s="39">
        <f t="shared" si="23"/>
        <v>4.2744244782752761</v>
      </c>
    </row>
    <row r="61" spans="1:47" x14ac:dyDescent="0.25">
      <c r="A61" t="s">
        <v>61</v>
      </c>
      <c r="B61" s="2">
        <v>1125</v>
      </c>
      <c r="C61" t="s">
        <v>177</v>
      </c>
      <c r="D61" t="s">
        <v>101</v>
      </c>
      <c r="G61" t="s">
        <v>63</v>
      </c>
      <c r="H61" t="s">
        <v>190</v>
      </c>
      <c r="I61" t="s">
        <v>187</v>
      </c>
      <c r="L61" s="32">
        <f>+VLOOKUP(C61,'[2]January 2026'!E$13:K$73,7,0)</f>
        <v>2998.08</v>
      </c>
      <c r="M61" s="33" t="str">
        <f>+VLOOKUP(C61,'[2]January 2026'!E$13:N$73,10,0)</f>
        <v>INVOICE-4877</v>
      </c>
      <c r="O61" s="35">
        <f t="shared" si="7"/>
        <v>0</v>
      </c>
      <c r="P61" s="34"/>
      <c r="Q61" s="35">
        <f t="shared" si="15"/>
        <v>0</v>
      </c>
      <c r="R61" s="35">
        <f t="shared" si="8"/>
        <v>149.904</v>
      </c>
      <c r="S61" s="35">
        <f t="shared" si="9"/>
        <v>149.904</v>
      </c>
      <c r="T61" s="35">
        <f t="shared" si="10"/>
        <v>29.980799999999999</v>
      </c>
      <c r="U61" s="36"/>
      <c r="V61" s="36">
        <f>+IFERROR(VLOOKUP(C61,[3]Sheet1!E$3:N$919,5,0)," ")</f>
        <v>1608.1999999999989</v>
      </c>
      <c r="W61" s="36">
        <f>+IFERROR(VLOOKUP(C61,[3]Sheet1!E$3:N$919,10,0)," ")</f>
        <v>0</v>
      </c>
      <c r="X61" s="36">
        <f>+IFERROR(VLOOKUP(C61,[3]Sheet1!E$3:N$919,9,0)," ")</f>
        <v>0</v>
      </c>
      <c r="Y61" s="3">
        <f t="shared" si="16"/>
        <v>1608.1999999999989</v>
      </c>
      <c r="Z61" s="35"/>
      <c r="AA61" s="35"/>
      <c r="AB61" s="35"/>
      <c r="AC61" s="35">
        <f t="shared" si="24"/>
        <v>0</v>
      </c>
      <c r="AD61" s="36">
        <f>+IFERROR(VLOOKUP(C61,[3]Sheet1!E$3:N$919,6,0)," ")</f>
        <v>323.16000000000003</v>
      </c>
      <c r="AE61" s="37"/>
      <c r="AF61" s="38"/>
      <c r="AG61" s="35">
        <f t="shared" si="12"/>
        <v>323.16000000000003</v>
      </c>
      <c r="AH61" s="3">
        <f t="shared" si="17"/>
        <v>89.942399999999992</v>
      </c>
      <c r="AI61" s="35"/>
      <c r="AJ61" s="35">
        <f t="shared" si="13"/>
        <v>89.942399999999992</v>
      </c>
      <c r="AK61" s="36"/>
      <c r="AM61" s="35"/>
      <c r="AN61" s="4">
        <f t="shared" si="14"/>
        <v>2351.0911999999989</v>
      </c>
      <c r="AO61" s="3">
        <f t="shared" si="18"/>
        <v>646.98880000000099</v>
      </c>
      <c r="AP61" s="39">
        <f t="shared" si="19"/>
        <v>0.21580104600277544</v>
      </c>
      <c r="AQ61" s="5">
        <f>+'[1]Project Master'!AC61</f>
        <v>5517.9122440000001</v>
      </c>
      <c r="AR61" s="6">
        <f t="shared" si="20"/>
        <v>-2519.8322440000002</v>
      </c>
      <c r="AS61" s="40">
        <f t="shared" si="21"/>
        <v>-0.84048198980680977</v>
      </c>
      <c r="AT61" s="41">
        <f t="shared" si="22"/>
        <v>-3166.8210440000012</v>
      </c>
      <c r="AU61" s="39">
        <f t="shared" si="23"/>
        <v>1.0562830358095852</v>
      </c>
    </row>
    <row r="62" spans="1:47" x14ac:dyDescent="0.25">
      <c r="A62" t="s">
        <v>61</v>
      </c>
      <c r="B62" s="2">
        <v>1126</v>
      </c>
      <c r="C62" t="s">
        <v>178</v>
      </c>
      <c r="D62" t="s">
        <v>102</v>
      </c>
      <c r="G62" t="s">
        <v>63</v>
      </c>
      <c r="H62" t="s">
        <v>189</v>
      </c>
      <c r="I62" t="s">
        <v>185</v>
      </c>
      <c r="L62" s="32">
        <f>+VLOOKUP(C62,'[2]January 2026'!E$13:K$73,7,0)</f>
        <v>99000</v>
      </c>
      <c r="M62" s="33" t="str">
        <f>+VLOOKUP(C62,'[2]January 2026'!E$13:N$73,10,0)</f>
        <v>INVOICE-4878</v>
      </c>
      <c r="O62" s="35">
        <f t="shared" si="7"/>
        <v>0</v>
      </c>
      <c r="P62" s="34">
        <v>0.01</v>
      </c>
      <c r="Q62" s="35">
        <f t="shared" si="15"/>
        <v>990</v>
      </c>
      <c r="R62" s="35">
        <f t="shared" si="8"/>
        <v>4950</v>
      </c>
      <c r="S62" s="35">
        <f t="shared" si="9"/>
        <v>4950</v>
      </c>
      <c r="T62" s="35">
        <f t="shared" si="10"/>
        <v>990</v>
      </c>
      <c r="U62" s="36"/>
      <c r="V62" s="36">
        <v>42902.8</v>
      </c>
      <c r="W62" s="36" t="str">
        <f>+IFERROR(VLOOKUP(C62,[3]Sheet1!E$3:N$919,10,0)," ")</f>
        <v xml:space="preserve"> </v>
      </c>
      <c r="X62" s="36">
        <v>3483.96</v>
      </c>
      <c r="Y62" s="3">
        <f t="shared" si="16"/>
        <v>46386.76</v>
      </c>
      <c r="Z62" s="35"/>
      <c r="AA62" s="35"/>
      <c r="AB62" s="35"/>
      <c r="AC62" s="35">
        <f t="shared" si="24"/>
        <v>0</v>
      </c>
      <c r="AD62" s="36">
        <f>+IFERROR(VLOOKUP(C62,[3]Sheet1!E$3:N$919,6,0),0)</f>
        <v>0</v>
      </c>
      <c r="AE62" s="37"/>
      <c r="AF62" s="38"/>
      <c r="AG62" s="35">
        <f t="shared" si="12"/>
        <v>0</v>
      </c>
      <c r="AH62" s="3">
        <f t="shared" si="17"/>
        <v>2970</v>
      </c>
      <c r="AI62" s="35"/>
      <c r="AJ62" s="35">
        <f t="shared" si="13"/>
        <v>2970</v>
      </c>
      <c r="AK62" s="36"/>
      <c r="AM62" s="35"/>
      <c r="AN62" s="4">
        <f t="shared" si="14"/>
        <v>61236.76</v>
      </c>
      <c r="AO62" s="3">
        <f t="shared" si="18"/>
        <v>37763.24</v>
      </c>
      <c r="AP62" s="39">
        <f t="shared" si="19"/>
        <v>0.38144686868686867</v>
      </c>
      <c r="AQ62" s="5">
        <f>+'[1]Project Master'!AC62</f>
        <v>15109.936720638378</v>
      </c>
      <c r="AR62" s="6">
        <f t="shared" si="20"/>
        <v>83890.063279361624</v>
      </c>
      <c r="AS62" s="40">
        <f t="shared" si="21"/>
        <v>0.84737437655920833</v>
      </c>
      <c r="AT62" s="41">
        <f t="shared" si="22"/>
        <v>46126.823279361626</v>
      </c>
      <c r="AU62" s="39">
        <f t="shared" si="23"/>
        <v>-0.46592750787233966</v>
      </c>
    </row>
    <row r="63" spans="1:47" x14ac:dyDescent="0.25">
      <c r="A63" t="s">
        <v>61</v>
      </c>
      <c r="B63" s="2">
        <v>1127</v>
      </c>
      <c r="C63" t="s">
        <v>179</v>
      </c>
      <c r="D63" t="s">
        <v>103</v>
      </c>
      <c r="G63" t="s">
        <v>63</v>
      </c>
      <c r="H63" t="s">
        <v>189</v>
      </c>
      <c r="I63" t="s">
        <v>185</v>
      </c>
      <c r="L63" s="32">
        <f>+VLOOKUP(C63,'[2]January 2026'!E$13:K$73,7,0)</f>
        <v>7000</v>
      </c>
      <c r="M63" s="33" t="str">
        <f>+VLOOKUP(C63,'[2]January 2026'!E$13:N$73,10,0)</f>
        <v>INVOICE-4879</v>
      </c>
      <c r="O63" s="35">
        <f t="shared" si="7"/>
        <v>0</v>
      </c>
      <c r="P63" s="34"/>
      <c r="Q63" s="35">
        <f t="shared" si="15"/>
        <v>0</v>
      </c>
      <c r="R63" s="35">
        <f t="shared" si="8"/>
        <v>350</v>
      </c>
      <c r="S63" s="35">
        <f t="shared" si="9"/>
        <v>350</v>
      </c>
      <c r="T63" s="35">
        <f t="shared" si="10"/>
        <v>70</v>
      </c>
      <c r="U63" s="36"/>
      <c r="V63" s="36">
        <f>+IFERROR(VLOOKUP(C63,[3]Sheet1!E$3:N$919,5,0)," ")</f>
        <v>0</v>
      </c>
      <c r="W63" s="36">
        <f>+IFERROR(VLOOKUP(C63,[3]Sheet1!E$3:N$919,10,0)," ")</f>
        <v>0</v>
      </c>
      <c r="X63" s="36">
        <f>+IFERROR(VLOOKUP(C63,[3]Sheet1!E$3:N$919,9,0)," ")</f>
        <v>0</v>
      </c>
      <c r="Y63" s="3">
        <f t="shared" si="16"/>
        <v>0</v>
      </c>
      <c r="Z63" s="35"/>
      <c r="AA63" s="35"/>
      <c r="AB63" s="35"/>
      <c r="AC63" s="35">
        <f t="shared" si="24"/>
        <v>0</v>
      </c>
      <c r="AD63" s="36">
        <f>+IFERROR(VLOOKUP(C63,[3]Sheet1!E$3:N$919,6,0)," ")</f>
        <v>0</v>
      </c>
      <c r="AE63" s="37"/>
      <c r="AF63" s="38"/>
      <c r="AG63" s="35">
        <f t="shared" si="12"/>
        <v>0</v>
      </c>
      <c r="AH63" s="3">
        <f t="shared" si="17"/>
        <v>210</v>
      </c>
      <c r="AI63" s="35"/>
      <c r="AJ63" s="35">
        <f t="shared" si="13"/>
        <v>210</v>
      </c>
      <c r="AK63" s="36"/>
      <c r="AM63" s="35"/>
      <c r="AN63" s="4">
        <f t="shared" si="14"/>
        <v>980</v>
      </c>
      <c r="AO63" s="3">
        <f t="shared" si="18"/>
        <v>6020</v>
      </c>
      <c r="AP63" s="39">
        <f t="shared" si="19"/>
        <v>0.86</v>
      </c>
      <c r="AQ63" s="5">
        <f>+'[1]Project Master'!AC63</f>
        <v>13847.154263469825</v>
      </c>
      <c r="AR63" s="6">
        <f t="shared" si="20"/>
        <v>-6847.1542634698253</v>
      </c>
      <c r="AS63" s="40">
        <f t="shared" si="21"/>
        <v>-0.97816489478140367</v>
      </c>
      <c r="AT63" s="41">
        <f t="shared" si="22"/>
        <v>-12867.154263469825</v>
      </c>
      <c r="AU63" s="39">
        <f t="shared" si="23"/>
        <v>1.8381648947814035</v>
      </c>
    </row>
    <row r="64" spans="1:47" x14ac:dyDescent="0.25">
      <c r="A64" t="s">
        <v>61</v>
      </c>
      <c r="B64" s="2">
        <v>1128</v>
      </c>
      <c r="C64" t="s">
        <v>180</v>
      </c>
      <c r="G64" t="s">
        <v>63</v>
      </c>
      <c r="H64" t="s">
        <v>189</v>
      </c>
      <c r="I64" t="s">
        <v>185</v>
      </c>
      <c r="L64" s="32">
        <f>+VLOOKUP(C64,'[2]January 2026'!E$13:K$73,7,0)</f>
        <v>275</v>
      </c>
      <c r="M64" s="33" t="str">
        <f>+VLOOKUP(C64,'[2]January 2026'!E$13:N$73,10,0)</f>
        <v>INVOICE-4880</v>
      </c>
      <c r="O64" s="35">
        <f>+L64*N64</f>
        <v>0</v>
      </c>
      <c r="P64" s="34"/>
      <c r="Q64" s="35">
        <f t="shared" si="15"/>
        <v>0</v>
      </c>
      <c r="R64" s="35">
        <f t="shared" si="8"/>
        <v>13.75</v>
      </c>
      <c r="S64" s="35">
        <f t="shared" si="9"/>
        <v>13.75</v>
      </c>
      <c r="T64" s="35">
        <f t="shared" si="10"/>
        <v>2.75</v>
      </c>
      <c r="U64" s="36">
        <f>3353.692976+3244</f>
        <v>6597.6929760000003</v>
      </c>
      <c r="V64" s="36">
        <f>+IFERROR(VLOOKUP(C64,[3]Sheet1!E$3:N$919,5,0)," ")</f>
        <v>0</v>
      </c>
      <c r="W64" s="36">
        <f>+IFERROR(VLOOKUP(C64,[3]Sheet1!E$3:N$919,10,0)," ")</f>
        <v>0</v>
      </c>
      <c r="X64" s="36">
        <v>0</v>
      </c>
      <c r="Y64" s="3">
        <f>+SUM(U64:X64)</f>
        <v>6597.6929760000003</v>
      </c>
      <c r="Z64" s="35"/>
      <c r="AA64" s="35"/>
      <c r="AB64" s="35"/>
      <c r="AC64" s="35">
        <f t="shared" si="24"/>
        <v>0</v>
      </c>
      <c r="AD64" s="36">
        <f>+IFERROR(VLOOKUP(C64,[3]Sheet1!E$3:N$919,6,0)," ")</f>
        <v>0</v>
      </c>
      <c r="AE64" s="37"/>
      <c r="AF64" s="38"/>
      <c r="AG64" s="35">
        <v>0</v>
      </c>
      <c r="AH64" s="3">
        <f t="shared" si="17"/>
        <v>8.25</v>
      </c>
      <c r="AI64" s="35"/>
      <c r="AJ64" s="35">
        <f t="shared" si="13"/>
        <v>8.25</v>
      </c>
      <c r="AK64" s="36"/>
      <c r="AM64" s="35"/>
      <c r="AN64" s="4">
        <f t="shared" si="14"/>
        <v>6636.1929760000003</v>
      </c>
      <c r="AO64" s="3">
        <f t="shared" si="18"/>
        <v>-6361.1929760000003</v>
      </c>
      <c r="AP64" s="39">
        <f t="shared" si="19"/>
        <v>-23.131610821818182</v>
      </c>
      <c r="AQ64" s="5">
        <f>+'[1]Project Master'!AC64</f>
        <v>91080</v>
      </c>
      <c r="AR64" s="6">
        <f t="shared" si="20"/>
        <v>-90805</v>
      </c>
      <c r="AS64" s="40">
        <f t="shared" si="21"/>
        <v>-330.2</v>
      </c>
      <c r="AT64" s="41">
        <f t="shared" si="22"/>
        <v>-84443.807023999994</v>
      </c>
      <c r="AU64" s="39">
        <f t="shared" si="23"/>
        <v>307.0683891781818</v>
      </c>
    </row>
    <row r="65" spans="1:47" x14ac:dyDescent="0.25">
      <c r="A65" t="s">
        <v>61</v>
      </c>
      <c r="B65" s="2">
        <v>1129</v>
      </c>
      <c r="C65" t="s">
        <v>181</v>
      </c>
      <c r="D65" t="s">
        <v>104</v>
      </c>
      <c r="G65" t="s">
        <v>63</v>
      </c>
      <c r="H65" t="s">
        <v>189</v>
      </c>
      <c r="I65" t="s">
        <v>185</v>
      </c>
      <c r="L65" s="32">
        <f>+VLOOKUP(C65,'[2]January 2026'!E$13:K$73,7,0)</f>
        <v>300</v>
      </c>
      <c r="M65" s="33" t="str">
        <f>+VLOOKUP(C65,'[2]January 2026'!E$13:N$73,10,0)</f>
        <v>INVOICE-4881</v>
      </c>
      <c r="O65" s="35">
        <f t="shared" si="7"/>
        <v>0</v>
      </c>
      <c r="P65" s="34"/>
      <c r="Q65" s="35">
        <f t="shared" si="15"/>
        <v>0</v>
      </c>
      <c r="R65" s="35">
        <f t="shared" si="8"/>
        <v>15</v>
      </c>
      <c r="S65" s="35">
        <f t="shared" si="9"/>
        <v>15</v>
      </c>
      <c r="T65" s="35">
        <f t="shared" si="10"/>
        <v>3</v>
      </c>
      <c r="U65" s="36"/>
      <c r="V65" s="36">
        <f>+IFERROR(VLOOKUP(C65,[3]Sheet1!E$3:N$919,5,0)," ")</f>
        <v>0</v>
      </c>
      <c r="W65" s="36">
        <f>+IFERROR(VLOOKUP(C65,[3]Sheet1!E$3:N$919,10,0)," ")</f>
        <v>0</v>
      </c>
      <c r="X65" s="36">
        <f>+IFERROR(VLOOKUP(C65,[3]Sheet1!E$3:N$919,9,0)," ")</f>
        <v>0</v>
      </c>
      <c r="Y65" s="3">
        <f t="shared" si="16"/>
        <v>0</v>
      </c>
      <c r="Z65" s="35"/>
      <c r="AA65" s="35"/>
      <c r="AB65" s="35"/>
      <c r="AC65" s="35">
        <f t="shared" si="24"/>
        <v>0</v>
      </c>
      <c r="AD65" s="36">
        <f>+IFERROR(VLOOKUP(C65,[3]Sheet1!E$3:N$919,6,0)," ")</f>
        <v>0</v>
      </c>
      <c r="AE65" s="37"/>
      <c r="AF65" s="38"/>
      <c r="AG65" s="35">
        <v>0</v>
      </c>
      <c r="AH65" s="3">
        <f t="shared" si="17"/>
        <v>9</v>
      </c>
      <c r="AI65" s="35"/>
      <c r="AJ65" s="35">
        <f t="shared" si="13"/>
        <v>9</v>
      </c>
      <c r="AK65" s="36"/>
      <c r="AM65" s="35"/>
      <c r="AN65" s="4">
        <f t="shared" si="14"/>
        <v>42</v>
      </c>
      <c r="AO65" s="3">
        <f t="shared" si="18"/>
        <v>258</v>
      </c>
      <c r="AP65" s="39">
        <f t="shared" si="19"/>
        <v>0.86</v>
      </c>
      <c r="AQ65" s="5">
        <f>+'[1]Project Master'!AC65</f>
        <v>253</v>
      </c>
      <c r="AR65" s="6">
        <f t="shared" si="20"/>
        <v>47</v>
      </c>
      <c r="AS65" s="40">
        <f t="shared" si="21"/>
        <v>0.15666666666666668</v>
      </c>
      <c r="AT65" s="41">
        <f t="shared" si="22"/>
        <v>-211</v>
      </c>
      <c r="AU65" s="39">
        <f t="shared" si="23"/>
        <v>0.70333333333333337</v>
      </c>
    </row>
    <row r="66" spans="1:47" x14ac:dyDescent="0.25">
      <c r="A66" t="s">
        <v>61</v>
      </c>
      <c r="B66" s="2">
        <v>1130</v>
      </c>
      <c r="C66" t="s">
        <v>181</v>
      </c>
      <c r="D66" t="s">
        <v>105</v>
      </c>
      <c r="G66" t="s">
        <v>63</v>
      </c>
      <c r="H66" t="s">
        <v>189</v>
      </c>
      <c r="I66" t="s">
        <v>185</v>
      </c>
      <c r="L66" s="32">
        <f>+VLOOKUP(C66,'[2]January 2026'!E$13:K$73,7,0)</f>
        <v>300</v>
      </c>
      <c r="M66" s="33" t="str">
        <f>+VLOOKUP(C66,'[2]January 2026'!E$13:N$73,10,0)</f>
        <v>INVOICE-4881</v>
      </c>
      <c r="O66" s="35">
        <f t="shared" si="7"/>
        <v>0</v>
      </c>
      <c r="P66" s="34"/>
      <c r="Q66" s="35">
        <f t="shared" si="15"/>
        <v>0</v>
      </c>
      <c r="R66" s="35">
        <f t="shared" si="8"/>
        <v>15</v>
      </c>
      <c r="S66" s="35">
        <f t="shared" si="9"/>
        <v>15</v>
      </c>
      <c r="T66" s="35">
        <f t="shared" si="10"/>
        <v>3</v>
      </c>
      <c r="U66" s="36"/>
      <c r="V66" s="36">
        <f>+IFERROR(VLOOKUP(C66,[3]Sheet1!E$3:N$919,5,0)," ")</f>
        <v>0</v>
      </c>
      <c r="W66" s="36">
        <f>+IFERROR(VLOOKUP(C66,[3]Sheet1!E$3:N$919,10,0)," ")</f>
        <v>0</v>
      </c>
      <c r="X66" s="36">
        <f>+IFERROR(VLOOKUP(C66,[3]Sheet1!E$3:N$919,9,0)," ")</f>
        <v>0</v>
      </c>
      <c r="Y66" s="3">
        <f t="shared" si="16"/>
        <v>0</v>
      </c>
      <c r="Z66" s="35"/>
      <c r="AA66" s="35"/>
      <c r="AB66" s="35"/>
      <c r="AC66" s="35">
        <f t="shared" si="24"/>
        <v>0</v>
      </c>
      <c r="AD66" s="36">
        <f>+IFERROR(VLOOKUP(C66,[3]Sheet1!E$3:N$919,6,0)," ")</f>
        <v>0</v>
      </c>
      <c r="AE66" s="37"/>
      <c r="AF66" s="38"/>
      <c r="AG66" s="35">
        <v>0</v>
      </c>
      <c r="AH66" s="3">
        <f t="shared" si="17"/>
        <v>9</v>
      </c>
      <c r="AI66" s="35"/>
      <c r="AJ66" s="35">
        <f t="shared" si="13"/>
        <v>9</v>
      </c>
      <c r="AK66" s="36"/>
      <c r="AM66" s="35"/>
      <c r="AN66" s="4">
        <f t="shared" si="14"/>
        <v>42</v>
      </c>
      <c r="AO66" s="3">
        <f t="shared" si="18"/>
        <v>258</v>
      </c>
      <c r="AP66" s="39">
        <f t="shared" si="19"/>
        <v>0.86</v>
      </c>
      <c r="AQ66" s="5">
        <f>+'[1]Project Master'!AC66</f>
        <v>276</v>
      </c>
      <c r="AR66" s="6">
        <f t="shared" si="20"/>
        <v>24</v>
      </c>
      <c r="AS66" s="40">
        <f t="shared" si="21"/>
        <v>0.08</v>
      </c>
      <c r="AT66" s="41">
        <f t="shared" si="22"/>
        <v>-234</v>
      </c>
      <c r="AU66" s="39">
        <f t="shared" si="23"/>
        <v>0.78</v>
      </c>
    </row>
    <row r="67" spans="1:47" x14ac:dyDescent="0.25">
      <c r="A67" t="s">
        <v>61</v>
      </c>
      <c r="B67" s="2">
        <v>1131</v>
      </c>
      <c r="C67" t="s">
        <v>182</v>
      </c>
      <c r="D67" t="s">
        <v>106</v>
      </c>
      <c r="G67" t="s">
        <v>63</v>
      </c>
      <c r="H67" t="s">
        <v>189</v>
      </c>
      <c r="I67" t="s">
        <v>185</v>
      </c>
      <c r="L67" s="32">
        <f>+VLOOKUP(C67,'[2]January 2026'!E$13:K$73,7,0)</f>
        <v>918</v>
      </c>
      <c r="M67" s="33" t="str">
        <f>+VLOOKUP(C67,'[2]January 2026'!E$13:N$73,10,0)</f>
        <v>INVOICE-4883</v>
      </c>
      <c r="O67" s="35">
        <f t="shared" si="7"/>
        <v>0</v>
      </c>
      <c r="P67" s="34"/>
      <c r="Q67" s="35">
        <f t="shared" si="15"/>
        <v>0</v>
      </c>
      <c r="R67" s="35">
        <f t="shared" si="8"/>
        <v>45.900000000000006</v>
      </c>
      <c r="S67" s="35">
        <f t="shared" si="9"/>
        <v>45.900000000000006</v>
      </c>
      <c r="T67" s="35">
        <f t="shared" si="10"/>
        <v>9.18</v>
      </c>
      <c r="U67" s="36"/>
      <c r="V67" s="36">
        <f>+IFERROR(VLOOKUP(C67,[3]Sheet1!E$3:N$919,5,0)," ")</f>
        <v>0</v>
      </c>
      <c r="W67" s="36">
        <f>+IFERROR(VLOOKUP(C67,[3]Sheet1!E$3:N$919,10,0)," ")</f>
        <v>0</v>
      </c>
      <c r="X67" s="36">
        <f>+IFERROR(VLOOKUP(C67,[3]Sheet1!E$3:N$919,9,0)," ")</f>
        <v>0</v>
      </c>
      <c r="Y67" s="3">
        <f t="shared" si="16"/>
        <v>0</v>
      </c>
      <c r="Z67" s="35"/>
      <c r="AA67" s="35"/>
      <c r="AB67" s="35"/>
      <c r="AC67" s="35">
        <f t="shared" si="24"/>
        <v>0</v>
      </c>
      <c r="AD67" s="36">
        <f>+IFERROR(VLOOKUP(C67,[3]Sheet1!E$3:N$919,6,0)," ")</f>
        <v>0</v>
      </c>
      <c r="AE67" s="37"/>
      <c r="AF67" s="38"/>
      <c r="AG67" s="35">
        <v>0</v>
      </c>
      <c r="AH67" s="3">
        <f t="shared" si="17"/>
        <v>27.54</v>
      </c>
      <c r="AI67" s="35"/>
      <c r="AJ67" s="35">
        <f t="shared" si="13"/>
        <v>27.54</v>
      </c>
      <c r="AK67" s="36"/>
      <c r="AM67" s="35"/>
      <c r="AN67" s="4">
        <f t="shared" si="14"/>
        <v>128.52000000000001</v>
      </c>
      <c r="AO67" s="3">
        <f t="shared" si="18"/>
        <v>789.48</v>
      </c>
      <c r="AP67" s="39">
        <f t="shared" si="19"/>
        <v>0.86</v>
      </c>
      <c r="AQ67" s="5">
        <f>+'[1]Project Master'!AC67</f>
        <v>397.43999999999994</v>
      </c>
      <c r="AR67" s="6">
        <f t="shared" si="20"/>
        <v>520.56000000000006</v>
      </c>
      <c r="AS67" s="40">
        <f t="shared" si="21"/>
        <v>0.56705882352941184</v>
      </c>
      <c r="AT67" s="41">
        <f t="shared" si="22"/>
        <v>-268.91999999999996</v>
      </c>
      <c r="AU67" s="39">
        <f t="shared" si="23"/>
        <v>0.29294117647058815</v>
      </c>
    </row>
    <row r="68" spans="1:47" x14ac:dyDescent="0.25">
      <c r="A68" t="s">
        <v>61</v>
      </c>
      <c r="B68" s="2">
        <v>1133</v>
      </c>
      <c r="C68" t="s">
        <v>183</v>
      </c>
      <c r="D68" s="42">
        <v>4064</v>
      </c>
      <c r="G68" t="s">
        <v>63</v>
      </c>
      <c r="H68" t="s">
        <v>190</v>
      </c>
      <c r="I68" t="s">
        <v>188</v>
      </c>
      <c r="L68" s="32">
        <f>+VLOOKUP(C68,'[2]January 2026'!E$13:K$73,7,0)</f>
        <v>628.99</v>
      </c>
      <c r="M68" s="33" t="str">
        <f>+VLOOKUP(C68,'[2]January 2026'!E$13:N$73,10,0)</f>
        <v>INVOICE-4884</v>
      </c>
      <c r="O68" s="35">
        <f t="shared" si="7"/>
        <v>0</v>
      </c>
      <c r="P68" s="34"/>
      <c r="Q68" s="35">
        <f t="shared" si="15"/>
        <v>0</v>
      </c>
      <c r="R68" s="35">
        <f t="shared" si="8"/>
        <v>31.4495</v>
      </c>
      <c r="S68" s="35">
        <f t="shared" si="9"/>
        <v>31.4495</v>
      </c>
      <c r="T68" s="35">
        <f t="shared" si="10"/>
        <v>6.2899000000000003</v>
      </c>
      <c r="U68" s="36"/>
      <c r="V68" s="36">
        <f>+IFERROR(VLOOKUP(C68,[3]Sheet1!E$3:N$919,5,0)," ")</f>
        <v>280</v>
      </c>
      <c r="W68" s="36">
        <f>+IFERROR(VLOOKUP(C68,[3]Sheet1!E$3:N$919,10,0)," ")</f>
        <v>0</v>
      </c>
      <c r="X68" s="36">
        <f>+IFERROR(VLOOKUP(C68,[3]Sheet1!E$3:N$919,9,0)," ")</f>
        <v>0</v>
      </c>
      <c r="Y68" s="3">
        <f t="shared" si="16"/>
        <v>280</v>
      </c>
      <c r="Z68" s="35"/>
      <c r="AA68" s="35"/>
      <c r="AB68" s="35"/>
      <c r="AC68" s="35">
        <f t="shared" si="24"/>
        <v>0</v>
      </c>
      <c r="AD68" s="36">
        <f>+IFERROR(VLOOKUP(C68,[3]Sheet1!E$3:N$919,6,0)," ")</f>
        <v>0</v>
      </c>
      <c r="AE68" s="37"/>
      <c r="AF68" s="38"/>
      <c r="AG68" s="35">
        <v>0</v>
      </c>
      <c r="AH68" s="3">
        <f t="shared" si="17"/>
        <v>18.869699999999998</v>
      </c>
      <c r="AI68" s="35"/>
      <c r="AJ68" s="35">
        <f t="shared" si="13"/>
        <v>18.869699999999998</v>
      </c>
      <c r="AK68" s="36"/>
      <c r="AM68" s="35"/>
      <c r="AN68" s="4">
        <f t="shared" si="14"/>
        <v>368.05860000000001</v>
      </c>
      <c r="AO68" s="3">
        <f t="shared" si="18"/>
        <v>260.9314</v>
      </c>
      <c r="AP68" s="39">
        <f t="shared" si="19"/>
        <v>0.41484188937820948</v>
      </c>
      <c r="AQ68" s="5">
        <f>+'[1]Project Master'!AC69</f>
        <v>0</v>
      </c>
      <c r="AR68" s="6">
        <f t="shared" si="20"/>
        <v>628.99</v>
      </c>
      <c r="AS68" s="40">
        <f t="shared" si="21"/>
        <v>1</v>
      </c>
      <c r="AT68" s="41">
        <f t="shared" si="22"/>
        <v>368.05860000000001</v>
      </c>
      <c r="AU68" s="39">
        <f t="shared" si="23"/>
        <v>-0.58515811062179046</v>
      </c>
    </row>
    <row r="69" spans="1:47" x14ac:dyDescent="0.25">
      <c r="L69" s="2"/>
      <c r="AP69" s="49"/>
      <c r="AQ69" s="4">
        <f>SUM(AQ9:AQ68)</f>
        <v>532828.62060339749</v>
      </c>
      <c r="AR69" s="6">
        <f>+L69-AQ69</f>
        <v>-532828.62060339749</v>
      </c>
      <c r="AS69" s="40">
        <f t="shared" si="21"/>
        <v>0</v>
      </c>
      <c r="AT69" s="41">
        <f t="shared" si="22"/>
        <v>-532828.62060339749</v>
      </c>
      <c r="AU69" s="39">
        <f t="shared" si="23"/>
        <v>0</v>
      </c>
    </row>
    <row r="71" spans="1:47" x14ac:dyDescent="0.25">
      <c r="L71" s="3"/>
    </row>
  </sheetData>
  <autoFilter ref="A7:AP71" xr:uid="{092D0B92-5CC1-4115-A47B-1E587E31D254}"/>
  <mergeCells count="12">
    <mergeCell ref="AD6:AG6"/>
    <mergeCell ref="AH6:AJ6"/>
    <mergeCell ref="A6:K6"/>
    <mergeCell ref="L6:M6"/>
    <mergeCell ref="N6:T6"/>
    <mergeCell ref="U6:Y6"/>
    <mergeCell ref="Z6:AC6"/>
    <mergeCell ref="V4:X4"/>
    <mergeCell ref="L5:M5"/>
    <mergeCell ref="V5:X5"/>
    <mergeCell ref="AD5:AF5"/>
    <mergeCell ref="AK5:AM5"/>
  </mergeCells>
  <conditionalFormatting sqref="D1:D1048576">
    <cfRule type="duplicateValues" dxfId="0" priority="1"/>
  </conditionalFormatting>
  <hyperlinks>
    <hyperlink ref="L5:M5" r:id="rId1" display="Master monthly invoicing (all franchisas)" xr:uid="{E9EFCA1E-FADD-421A-94DE-A4EBD4AEF996}"/>
    <hyperlink ref="AD5" r:id="rId2" display="Master list payments Subs-SuppliersVS1-2" xr:uid="{88FFA6F7-379C-462B-B42E-C6EFDB07E992}"/>
    <hyperlink ref="U4" r:id="rId3" xr:uid="{6C5B86BC-5CB7-4FD2-B180-719D8C2B2673}"/>
    <hyperlink ref="U5" r:id="rId4" xr:uid="{08FD9E1B-EDBF-42F4-932C-952DE4C8FC25}"/>
    <hyperlink ref="V4:W4" r:id="rId5" display="Master pagos periodos All Companies June 01-15 Vs1.0" xr:uid="{B35CF995-B33F-47A7-888A-C6D2890B1397}"/>
    <hyperlink ref="V5" r:id="rId6" xr:uid="{7202A9B6-4698-4E18-873A-E44A4287BC53}"/>
    <hyperlink ref="AD5:AE5" r:id="rId7" display="Master list payments Subs-Suppliers VS1-2" xr:uid="{36E6FB6C-4814-4006-AD59-F0DB9CF1F7A0}"/>
    <hyperlink ref="AK5" r:id="rId8" display="Master list payments Subs-SuppliersVS1-2" xr:uid="{CF2EF23F-0D9C-4B3E-9170-B1C437AF59DF}"/>
  </hyperlinks>
  <pageMargins left="0.70866141732283472" right="0.70866141732283472" top="0.74803149606299213" bottom="0.74803149606299213" header="0.31496062992125984" footer="0.31496062992125984"/>
  <pageSetup scale="40" orientation="portrait" horizontalDpi="300" verticalDpi="300" r:id="rId9"/>
  <headerFooter>
    <oddHeader xml:space="preserve">&amp;C
</oddHeader>
  </headerFooter>
  <colBreaks count="1" manualBreakCount="1">
    <brk id="14" max="109" man="1"/>
  </colBreaks>
  <legacyDrawing r:id="rId1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F6073C-DFA0-4775-8AF7-1342D161E95C}">
          <x14:formula1>
            <xm:f>List!$E$4:$E$11</xm:f>
          </x14:formula1>
          <xm:sqref>N8:N68</xm:sqref>
        </x14:dataValidation>
        <x14:dataValidation type="list" allowBlank="1" showInputMessage="1" showErrorMessage="1" xr:uid="{FA811EDB-AFE0-445B-87EA-BFB78904F236}">
          <x14:formula1>
            <xm:f>List!$F$4:$F$11</xm:f>
          </x14:formula1>
          <xm:sqref>P8:P68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D07F-64C4-4F28-8823-682CCEBE814C}">
  <dimension ref="B2:C19"/>
  <sheetViews>
    <sheetView workbookViewId="0">
      <selection activeCell="D20" sqref="D20"/>
    </sheetView>
  </sheetViews>
  <sheetFormatPr defaultColWidth="8.85546875" defaultRowHeight="15" x14ac:dyDescent="0.25"/>
  <cols>
    <col min="2" max="2" width="19.28515625" bestFit="1" customWidth="1"/>
    <col min="3" max="3" width="12.7109375" bestFit="1" customWidth="1"/>
  </cols>
  <sheetData>
    <row r="2" spans="2:3" ht="18.75" x14ac:dyDescent="0.3">
      <c r="B2" s="44" t="s">
        <v>107</v>
      </c>
      <c r="C2" s="44"/>
    </row>
    <row r="3" spans="2:3" ht="18.75" x14ac:dyDescent="0.3">
      <c r="B3" s="44" t="s">
        <v>108</v>
      </c>
      <c r="C3" s="45">
        <v>1695</v>
      </c>
    </row>
    <row r="4" spans="2:3" ht="18.75" x14ac:dyDescent="0.3">
      <c r="B4" s="44" t="s">
        <v>109</v>
      </c>
      <c r="C4" s="45">
        <v>1000</v>
      </c>
    </row>
    <row r="5" spans="2:3" ht="18.75" x14ac:dyDescent="0.3">
      <c r="B5" s="44" t="s">
        <v>110</v>
      </c>
      <c r="C5" s="45">
        <v>169.5</v>
      </c>
    </row>
    <row r="6" spans="2:3" ht="18.75" x14ac:dyDescent="0.3">
      <c r="B6" s="44" t="s">
        <v>111</v>
      </c>
      <c r="C6" s="45">
        <v>30</v>
      </c>
    </row>
    <row r="7" spans="2:3" ht="18.75" x14ac:dyDescent="0.3">
      <c r="B7" s="44" t="s">
        <v>112</v>
      </c>
      <c r="C7" s="45">
        <v>340.28</v>
      </c>
    </row>
    <row r="8" spans="2:3" ht="18.75" x14ac:dyDescent="0.3">
      <c r="B8" s="44" t="s">
        <v>113</v>
      </c>
      <c r="C8" s="45">
        <v>249</v>
      </c>
    </row>
    <row r="9" spans="2:3" ht="18.75" x14ac:dyDescent="0.3">
      <c r="B9" s="44" t="s">
        <v>114</v>
      </c>
      <c r="C9" s="45">
        <v>86.23</v>
      </c>
    </row>
    <row r="10" spans="2:3" ht="18.75" x14ac:dyDescent="0.3">
      <c r="B10" s="44" t="s">
        <v>115</v>
      </c>
      <c r="C10" s="45">
        <v>107.35</v>
      </c>
    </row>
    <row r="11" spans="2:3" ht="18.75" x14ac:dyDescent="0.3">
      <c r="B11" s="44" t="s">
        <v>116</v>
      </c>
      <c r="C11" s="45">
        <v>2211.79</v>
      </c>
    </row>
    <row r="12" spans="2:3" ht="18.75" x14ac:dyDescent="0.3">
      <c r="B12" s="44" t="s">
        <v>117</v>
      </c>
      <c r="C12" s="45">
        <v>1787</v>
      </c>
    </row>
    <row r="13" spans="2:3" ht="18.75" x14ac:dyDescent="0.3">
      <c r="B13" s="44" t="s">
        <v>118</v>
      </c>
      <c r="C13" s="45">
        <v>180</v>
      </c>
    </row>
    <row r="14" spans="2:3" ht="18.75" x14ac:dyDescent="0.3">
      <c r="B14" s="44" t="s">
        <v>119</v>
      </c>
      <c r="C14" s="45">
        <v>1300</v>
      </c>
    </row>
    <row r="15" spans="2:3" ht="18.75" x14ac:dyDescent="0.3">
      <c r="B15" s="44" t="s">
        <v>120</v>
      </c>
      <c r="C15" s="45">
        <v>1300</v>
      </c>
    </row>
    <row r="16" spans="2:3" ht="18.75" x14ac:dyDescent="0.3">
      <c r="B16" s="44" t="s">
        <v>121</v>
      </c>
      <c r="C16" s="44">
        <v>2500</v>
      </c>
    </row>
    <row r="17" spans="2:3" ht="18.75" x14ac:dyDescent="0.3">
      <c r="B17" s="44" t="s">
        <v>122</v>
      </c>
      <c r="C17" s="45">
        <f>+D17+E17</f>
        <v>0</v>
      </c>
    </row>
    <row r="18" spans="2:3" ht="18.75" x14ac:dyDescent="0.3">
      <c r="B18" s="44" t="s">
        <v>123</v>
      </c>
      <c r="C18" s="45">
        <v>2878.92</v>
      </c>
    </row>
    <row r="19" spans="2:3" ht="18.75" x14ac:dyDescent="0.3">
      <c r="B19" s="61" t="s">
        <v>191</v>
      </c>
      <c r="C19" s="62">
        <f>+SUM(C3:C18)</f>
        <v>15835.07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FFE9-ED4B-47CB-80F0-236498D38E6D}">
  <dimension ref="E3:F11"/>
  <sheetViews>
    <sheetView workbookViewId="0">
      <selection activeCell="L4" sqref="L4"/>
    </sheetView>
  </sheetViews>
  <sheetFormatPr defaultColWidth="8.85546875" defaultRowHeight="15" x14ac:dyDescent="0.25"/>
  <cols>
    <col min="5" max="5" width="22" customWidth="1"/>
    <col min="6" max="6" width="8.85546875" bestFit="1" customWidth="1"/>
  </cols>
  <sheetData>
    <row r="3" spans="5:6" ht="30" x14ac:dyDescent="0.25">
      <c r="E3" s="48" t="s">
        <v>34</v>
      </c>
      <c r="F3" s="48" t="s">
        <v>124</v>
      </c>
    </row>
    <row r="4" spans="5:6" x14ac:dyDescent="0.25">
      <c r="E4" s="47">
        <v>0.05</v>
      </c>
      <c r="F4" s="47">
        <v>0.05</v>
      </c>
    </row>
    <row r="5" spans="5:6" x14ac:dyDescent="0.25">
      <c r="E5" s="47">
        <v>0.04</v>
      </c>
      <c r="F5" s="47">
        <v>0.04</v>
      </c>
    </row>
    <row r="6" spans="5:6" x14ac:dyDescent="0.25">
      <c r="E6" s="47">
        <v>0.03</v>
      </c>
      <c r="F6" s="47">
        <v>0.03</v>
      </c>
    </row>
    <row r="7" spans="5:6" x14ac:dyDescent="0.25">
      <c r="E7" s="47">
        <v>0.02</v>
      </c>
      <c r="F7" s="47">
        <v>0.02</v>
      </c>
    </row>
    <row r="8" spans="5:6" x14ac:dyDescent="0.25">
      <c r="E8" s="47">
        <v>0.01</v>
      </c>
      <c r="F8" s="47">
        <v>0.01</v>
      </c>
    </row>
    <row r="9" spans="5:6" x14ac:dyDescent="0.25">
      <c r="E9" s="46">
        <v>1.2999999999999999E-3</v>
      </c>
      <c r="F9" s="43">
        <v>5.0000000000000001E-3</v>
      </c>
    </row>
    <row r="10" spans="5:6" x14ac:dyDescent="0.25">
      <c r="E10" s="46">
        <v>1.4999999999999999E-2</v>
      </c>
    </row>
    <row r="11" spans="5:6" x14ac:dyDescent="0.25">
      <c r="E11" s="46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Real Master</vt:lpstr>
      <vt:lpstr>Gasto Fijo</vt:lpstr>
      <vt:lpstr>List</vt:lpstr>
      <vt:lpstr>'Real Master'!Print_Area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Reyes</dc:creator>
  <cp:lastModifiedBy>Katherine Reyes</cp:lastModifiedBy>
  <dcterms:created xsi:type="dcterms:W3CDTF">2026-02-10T17:01:11Z</dcterms:created>
  <dcterms:modified xsi:type="dcterms:W3CDTF">2026-02-12T03:38:24Z</dcterms:modified>
</cp:coreProperties>
</file>